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Z:\excel untuk pa deden\"/>
    </mc:Choice>
  </mc:AlternateContent>
  <xr:revisionPtr revIDLastSave="0" documentId="13_ncr:1_{54EB6322-431E-464E-8F3E-9CBA07A6ED76}" xr6:coauthVersionLast="45" xr6:coauthVersionMax="45" xr10:uidLastSave="{00000000-0000-0000-0000-000000000000}"/>
  <bookViews>
    <workbookView xWindow="-120" yWindow="-120" windowWidth="29040" windowHeight="15840" xr2:uid="{CBA5023F-17A7-45DC-BD1D-C0E452980C1F}"/>
  </bookViews>
  <sheets>
    <sheet name="Input data" sheetId="1" r:id="rId1"/>
    <sheet name="Skorsing" sheetId="2" r:id="rId2"/>
    <sheet name="budget" sheetId="4" r:id="rId3"/>
    <sheet name="ESA" sheetId="3" r:id="rId4"/>
    <sheet name="laporan" sheetId="5" r:id="rId5"/>
    <sheet name="Laporan Print " sheetId="9" r:id="rId6"/>
    <sheet name="Cover " sheetId="8" r:id="rId7"/>
  </sheets>
  <externalReferences>
    <externalReference r:id="rId8"/>
    <externalReference r:id="rId9"/>
    <externalReference r:id="rId10"/>
    <externalReference r:id="rId11"/>
    <externalReference r:id="rId12"/>
    <externalReference r:id="rId13"/>
  </externalReferences>
  <definedNames>
    <definedName name="_xlnm.Print_Area" localSheetId="6">'Cover '!$A$1:$S$44</definedName>
    <definedName name="_xlnm.Print_Area" localSheetId="5">'Laporan Print '!$A$1:$S$139</definedName>
    <definedName name="_xlnm.Print_Titles" localSheetId="6">'Cover '!$1:$9</definedName>
    <definedName name="_xlnm.Print_Titles" localSheetId="5">'Laporan Print '!$1:$9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7" i="5" l="1"/>
  <c r="Q54" i="2" l="1"/>
  <c r="A61" i="5" l="1"/>
  <c r="B96" i="9" s="1"/>
  <c r="A53" i="5"/>
  <c r="B88" i="9" s="1"/>
  <c r="A54" i="5"/>
  <c r="B89" i="9" s="1"/>
  <c r="A55" i="5"/>
  <c r="B90" i="9" s="1"/>
  <c r="A56" i="5"/>
  <c r="B91" i="9" s="1"/>
  <c r="A57" i="5"/>
  <c r="B92" i="9" s="1"/>
  <c r="A58" i="5"/>
  <c r="B93" i="9" s="1"/>
  <c r="A59" i="5"/>
  <c r="B94" i="9" s="1"/>
  <c r="A60" i="5"/>
  <c r="B95" i="9" s="1"/>
  <c r="A52" i="5"/>
  <c r="B87" i="9" s="1"/>
  <c r="G55" i="2"/>
  <c r="G56" i="2"/>
  <c r="G57" i="2"/>
  <c r="G58" i="2"/>
  <c r="G59" i="2"/>
  <c r="G60" i="2"/>
  <c r="G61" i="2"/>
  <c r="G62" i="2"/>
  <c r="G63" i="2"/>
  <c r="G54" i="2"/>
  <c r="F55" i="2"/>
  <c r="F56" i="2"/>
  <c r="F57" i="2"/>
  <c r="F58" i="2"/>
  <c r="F59" i="2"/>
  <c r="F60" i="2"/>
  <c r="F61" i="2"/>
  <c r="F62" i="2"/>
  <c r="F63" i="2"/>
  <c r="F54" i="2"/>
  <c r="E55" i="2"/>
  <c r="E56" i="2"/>
  <c r="E57" i="2"/>
  <c r="E58" i="2"/>
  <c r="E59" i="2"/>
  <c r="E60" i="2"/>
  <c r="E61" i="2"/>
  <c r="E62" i="2"/>
  <c r="E63" i="2"/>
  <c r="E54" i="2"/>
  <c r="D45" i="5" l="1"/>
  <c r="D43" i="5"/>
  <c r="D41" i="5"/>
  <c r="C35" i="5"/>
  <c r="C33" i="5"/>
  <c r="C31" i="5"/>
  <c r="C29" i="5"/>
  <c r="C27" i="5"/>
  <c r="B35" i="5"/>
  <c r="B33" i="5"/>
  <c r="B31" i="5"/>
  <c r="B29" i="5"/>
  <c r="B27" i="5"/>
  <c r="M37" i="9" l="1"/>
  <c r="M39" i="9"/>
  <c r="C67" i="9"/>
  <c r="C68" i="9"/>
  <c r="C69" i="9"/>
  <c r="G40" i="2" l="1"/>
  <c r="F35" i="5" s="1"/>
  <c r="G38" i="2"/>
  <c r="F33" i="5" s="1"/>
  <c r="G36" i="2"/>
  <c r="F31" i="5" s="1"/>
  <c r="G34" i="2"/>
  <c r="F29" i="5" s="1"/>
  <c r="G32" i="2"/>
  <c r="F27" i="5" s="1"/>
  <c r="I32" i="2" l="1"/>
  <c r="I34" i="2"/>
  <c r="E8" i="5"/>
  <c r="J28" i="9" s="1"/>
  <c r="E9" i="5"/>
  <c r="J30" i="9" s="1"/>
  <c r="E10" i="5"/>
  <c r="E6" i="5"/>
  <c r="E5" i="5"/>
  <c r="C9" i="5"/>
  <c r="C10" i="5"/>
  <c r="C8" i="5"/>
  <c r="C6" i="5"/>
  <c r="C5" i="5"/>
  <c r="B2" i="5"/>
  <c r="B45" i="5"/>
  <c r="B43" i="5"/>
  <c r="B41" i="5"/>
  <c r="G19" i="8" l="1"/>
  <c r="J20" i="9"/>
  <c r="J26" i="9"/>
  <c r="G28" i="8"/>
  <c r="G15" i="8"/>
  <c r="A14" i="9"/>
  <c r="G23" i="8"/>
  <c r="J24" i="9"/>
  <c r="G21" i="8"/>
  <c r="J22" i="9"/>
  <c r="J18" i="9"/>
  <c r="G17" i="8"/>
  <c r="L54" i="2"/>
  <c r="M63" i="2"/>
  <c r="L63" i="2"/>
  <c r="J63" i="2"/>
  <c r="I63" i="2"/>
  <c r="H63" i="2"/>
  <c r="M62" i="2"/>
  <c r="L62" i="2"/>
  <c r="J62" i="2"/>
  <c r="I62" i="2"/>
  <c r="H62" i="2"/>
  <c r="M61" i="2"/>
  <c r="L61" i="2"/>
  <c r="J61" i="2"/>
  <c r="I61" i="2"/>
  <c r="H61" i="2"/>
  <c r="M60" i="2"/>
  <c r="L60" i="2"/>
  <c r="J60" i="2"/>
  <c r="I60" i="2"/>
  <c r="H60" i="2"/>
  <c r="M59" i="2"/>
  <c r="L59" i="2"/>
  <c r="J59" i="2"/>
  <c r="I59" i="2"/>
  <c r="H59" i="2"/>
  <c r="M58" i="2"/>
  <c r="L58" i="2"/>
  <c r="J58" i="2"/>
  <c r="I58" i="2"/>
  <c r="H58" i="2"/>
  <c r="M57" i="2"/>
  <c r="L57" i="2"/>
  <c r="J57" i="2"/>
  <c r="I57" i="2"/>
  <c r="H57" i="2"/>
  <c r="M56" i="2"/>
  <c r="N56" i="2" s="1"/>
  <c r="E17" i="4" s="1"/>
  <c r="L56" i="2"/>
  <c r="J56" i="2"/>
  <c r="I56" i="2"/>
  <c r="H56" i="2"/>
  <c r="M55" i="2"/>
  <c r="L55" i="2"/>
  <c r="J55" i="2"/>
  <c r="I55" i="2"/>
  <c r="H55" i="2"/>
  <c r="M54" i="2"/>
  <c r="N54" i="2" s="1"/>
  <c r="J54" i="2"/>
  <c r="I54" i="2"/>
  <c r="H54" i="2"/>
  <c r="S59" i="4"/>
  <c r="R59" i="4"/>
  <c r="T59" i="4" s="1"/>
  <c r="V59" i="4" s="1"/>
  <c r="S58" i="4"/>
  <c r="R58" i="4"/>
  <c r="T57" i="4"/>
  <c r="V57" i="4" s="1"/>
  <c r="S57" i="4"/>
  <c r="G59" i="4"/>
  <c r="F59" i="4"/>
  <c r="H59" i="4" s="1"/>
  <c r="J59" i="4" s="1"/>
  <c r="G58" i="4"/>
  <c r="F58" i="4"/>
  <c r="H57" i="4"/>
  <c r="J57" i="4" s="1"/>
  <c r="G57" i="4"/>
  <c r="G46" i="4"/>
  <c r="F46" i="4"/>
  <c r="H46" i="4" s="1"/>
  <c r="J46" i="4" s="1"/>
  <c r="G45" i="4"/>
  <c r="F45" i="4"/>
  <c r="H44" i="4"/>
  <c r="J44" i="4" s="1"/>
  <c r="G44" i="4"/>
  <c r="S46" i="4"/>
  <c r="R46" i="4"/>
  <c r="T46" i="4" s="1"/>
  <c r="V46" i="4" s="1"/>
  <c r="S45" i="4"/>
  <c r="R45" i="4"/>
  <c r="T44" i="4"/>
  <c r="V44" i="4" s="1"/>
  <c r="S44" i="4"/>
  <c r="S33" i="4"/>
  <c r="R33" i="4"/>
  <c r="T33" i="4" s="1"/>
  <c r="V33" i="4" s="1"/>
  <c r="S32" i="4"/>
  <c r="R32" i="4"/>
  <c r="T31" i="4"/>
  <c r="V31" i="4" s="1"/>
  <c r="S31" i="4"/>
  <c r="S20" i="4"/>
  <c r="R20" i="4"/>
  <c r="T20" i="4" s="1"/>
  <c r="V20" i="4" s="1"/>
  <c r="S19" i="4"/>
  <c r="R19" i="4"/>
  <c r="T18" i="4"/>
  <c r="V18" i="4" s="1"/>
  <c r="S18" i="4"/>
  <c r="S7" i="4"/>
  <c r="R7" i="4"/>
  <c r="T7" i="4" s="1"/>
  <c r="V7" i="4" s="1"/>
  <c r="S6" i="4"/>
  <c r="R6" i="4"/>
  <c r="T5" i="4"/>
  <c r="V5" i="4" s="1"/>
  <c r="S5" i="4"/>
  <c r="G33" i="4"/>
  <c r="F33" i="4"/>
  <c r="H33" i="4" s="1"/>
  <c r="J33" i="4" s="1"/>
  <c r="G32" i="4"/>
  <c r="F32" i="4"/>
  <c r="H31" i="4"/>
  <c r="J31" i="4" s="1"/>
  <c r="G31" i="4"/>
  <c r="G20" i="4"/>
  <c r="F20" i="4"/>
  <c r="H20" i="4" s="1"/>
  <c r="J20" i="4" s="1"/>
  <c r="G19" i="4"/>
  <c r="F19" i="4"/>
  <c r="H18" i="4"/>
  <c r="J18" i="4" s="1"/>
  <c r="G18" i="4"/>
  <c r="H17" i="4"/>
  <c r="J17" i="4" s="1"/>
  <c r="G7" i="4"/>
  <c r="F7" i="4"/>
  <c r="H7" i="4" s="1"/>
  <c r="J7" i="4" s="1"/>
  <c r="G6" i="4"/>
  <c r="F6" i="4"/>
  <c r="H5" i="4"/>
  <c r="J5" i="4" s="1"/>
  <c r="G5" i="4"/>
  <c r="C53" i="5" l="1"/>
  <c r="K88" i="9" s="1"/>
  <c r="C57" i="5"/>
  <c r="K92" i="9" s="1"/>
  <c r="C61" i="5"/>
  <c r="K96" i="9" s="1"/>
  <c r="C56" i="5"/>
  <c r="K91" i="9" s="1"/>
  <c r="C54" i="5"/>
  <c r="K89" i="9" s="1"/>
  <c r="C58" i="5"/>
  <c r="K93" i="9" s="1"/>
  <c r="C60" i="5"/>
  <c r="K95" i="9" s="1"/>
  <c r="C55" i="5"/>
  <c r="K90" i="9" s="1"/>
  <c r="C59" i="5"/>
  <c r="K94" i="9" s="1"/>
  <c r="C52" i="5"/>
  <c r="K87" i="9" s="1"/>
  <c r="N63" i="2"/>
  <c r="Q56" i="4"/>
  <c r="T56" i="4" s="1"/>
  <c r="V56" i="4" s="1"/>
  <c r="X56" i="4" s="1"/>
  <c r="N62" i="2"/>
  <c r="E56" i="4"/>
  <c r="H56" i="4" s="1"/>
  <c r="J56" i="4" s="1"/>
  <c r="L56" i="4" s="1"/>
  <c r="N61" i="2"/>
  <c r="Q43" i="4"/>
  <c r="T43" i="4" s="1"/>
  <c r="V43" i="4" s="1"/>
  <c r="X43" i="4" s="1"/>
  <c r="N60" i="2"/>
  <c r="E43" i="4"/>
  <c r="H43" i="4" s="1"/>
  <c r="J43" i="4" s="1"/>
  <c r="L43" i="4" s="1"/>
  <c r="N59" i="2"/>
  <c r="Q30" i="4"/>
  <c r="T30" i="4" s="1"/>
  <c r="V30" i="4" s="1"/>
  <c r="X30" i="4" s="1"/>
  <c r="N58" i="2"/>
  <c r="E30" i="4"/>
  <c r="H30" i="4" s="1"/>
  <c r="J30" i="4" s="1"/>
  <c r="L30" i="4" s="1"/>
  <c r="N57" i="2"/>
  <c r="Q17" i="4"/>
  <c r="T17" i="4" s="1"/>
  <c r="V17" i="4" s="1"/>
  <c r="W17" i="4" s="1"/>
  <c r="N55" i="2"/>
  <c r="Q4" i="4"/>
  <c r="T4" i="4" s="1"/>
  <c r="V4" i="4" s="1"/>
  <c r="X4" i="4" s="1"/>
  <c r="E4" i="4"/>
  <c r="H4" i="4" s="1"/>
  <c r="J4" i="4" s="1"/>
  <c r="K4" i="4" s="1"/>
  <c r="K56" i="2"/>
  <c r="K58" i="2"/>
  <c r="K60" i="2"/>
  <c r="K62" i="2"/>
  <c r="K54" i="2"/>
  <c r="K55" i="2"/>
  <c r="K57" i="2"/>
  <c r="K59" i="2"/>
  <c r="K61" i="2"/>
  <c r="K63" i="2"/>
  <c r="W57" i="4"/>
  <c r="X57" i="4"/>
  <c r="W59" i="4"/>
  <c r="X59" i="4"/>
  <c r="K59" i="4"/>
  <c r="L59" i="4"/>
  <c r="K57" i="4"/>
  <c r="L57" i="4"/>
  <c r="K46" i="4"/>
  <c r="L46" i="4"/>
  <c r="K44" i="4"/>
  <c r="L44" i="4"/>
  <c r="X46" i="4"/>
  <c r="W46" i="4"/>
  <c r="W44" i="4"/>
  <c r="X44" i="4"/>
  <c r="W33" i="4"/>
  <c r="X33" i="4"/>
  <c r="W31" i="4"/>
  <c r="X31" i="4"/>
  <c r="W18" i="4"/>
  <c r="X18" i="4"/>
  <c r="X20" i="4"/>
  <c r="W20" i="4"/>
  <c r="W5" i="4"/>
  <c r="X5" i="4"/>
  <c r="W7" i="4"/>
  <c r="X7" i="4"/>
  <c r="K31" i="4"/>
  <c r="L31" i="4"/>
  <c r="L33" i="4"/>
  <c r="K33" i="4"/>
  <c r="K18" i="4"/>
  <c r="L18" i="4"/>
  <c r="K20" i="4"/>
  <c r="L20" i="4"/>
  <c r="L17" i="4"/>
  <c r="K17" i="4"/>
  <c r="K5" i="4"/>
  <c r="L5" i="4"/>
  <c r="K7" i="4"/>
  <c r="L7" i="4"/>
  <c r="W56" i="4" l="1"/>
  <c r="X17" i="4"/>
  <c r="W43" i="4"/>
  <c r="K43" i="4"/>
  <c r="K56" i="4"/>
  <c r="W30" i="4"/>
  <c r="W4" i="4"/>
  <c r="K30" i="4"/>
  <c r="L4" i="4"/>
  <c r="F48" i="2" l="1"/>
  <c r="F47" i="2"/>
  <c r="F46" i="2"/>
  <c r="D40" i="2"/>
  <c r="C40" i="2"/>
  <c r="D38" i="2"/>
  <c r="C38" i="2"/>
  <c r="D36" i="2"/>
  <c r="D34" i="2"/>
  <c r="D32" i="2"/>
  <c r="C36" i="2"/>
  <c r="C34" i="2"/>
  <c r="C32" i="2"/>
  <c r="D6" i="2" l="1"/>
  <c r="D7" i="2"/>
  <c r="D8" i="2"/>
  <c r="D9" i="2"/>
  <c r="D10" i="2"/>
  <c r="D5" i="2"/>
  <c r="Q8" i="8" s="1"/>
  <c r="Q8" i="9" s="1"/>
  <c r="G16" i="2" l="1"/>
  <c r="F15" i="5" s="1"/>
  <c r="O59" i="9" s="1"/>
  <c r="G17" i="2"/>
  <c r="G18" i="2"/>
  <c r="F17" i="5" s="1"/>
  <c r="O61" i="9" s="1"/>
  <c r="E26" i="2"/>
  <c r="E27" i="2"/>
  <c r="E25" i="2"/>
  <c r="D24" i="2"/>
  <c r="E24" i="2"/>
  <c r="E23" i="2"/>
  <c r="D23" i="2"/>
  <c r="G23" i="2" s="1"/>
  <c r="E16" i="2"/>
  <c r="D15" i="5" s="1"/>
  <c r="H59" i="9" s="1"/>
  <c r="F16" i="2"/>
  <c r="E15" i="5" s="1"/>
  <c r="L59" i="9" s="1"/>
  <c r="E17" i="2"/>
  <c r="D16" i="5" s="1"/>
  <c r="H60" i="9" s="1"/>
  <c r="F17" i="2"/>
  <c r="E16" i="5" s="1"/>
  <c r="L60" i="9" s="1"/>
  <c r="E18" i="2"/>
  <c r="D17" i="5" s="1"/>
  <c r="H61" i="9" s="1"/>
  <c r="F18" i="2"/>
  <c r="E17" i="5" s="1"/>
  <c r="L61" i="9" s="1"/>
  <c r="F15" i="2"/>
  <c r="G15" i="2"/>
  <c r="E15" i="2"/>
  <c r="C16" i="2"/>
  <c r="B15" i="5" s="1"/>
  <c r="B59" i="9" s="1"/>
  <c r="C17" i="2"/>
  <c r="B16" i="5" s="1"/>
  <c r="B60" i="9" s="1"/>
  <c r="C18" i="2"/>
  <c r="B17" i="5" s="1"/>
  <c r="B61" i="9" s="1"/>
  <c r="C15" i="2"/>
  <c r="H6" i="2"/>
  <c r="H7" i="2"/>
  <c r="H8" i="2"/>
  <c r="H9" i="2"/>
  <c r="H10" i="2"/>
  <c r="H5" i="2"/>
  <c r="D11" i="2"/>
  <c r="B3" i="3"/>
  <c r="B11" i="3" s="1"/>
  <c r="C3" i="3"/>
  <c r="C11" i="3" s="1"/>
  <c r="D3" i="3"/>
  <c r="D11" i="3" s="1"/>
  <c r="E3" i="3"/>
  <c r="E11" i="3" s="1"/>
  <c r="F3" i="3"/>
  <c r="G3" i="3"/>
  <c r="H3" i="3"/>
  <c r="J3" i="3"/>
  <c r="L3" i="3"/>
  <c r="N3" i="3"/>
  <c r="P3" i="3"/>
  <c r="H4" i="3"/>
  <c r="I4" i="3"/>
  <c r="J4" i="3"/>
  <c r="K4" i="3"/>
  <c r="L4" i="3"/>
  <c r="M4" i="3"/>
  <c r="N4" i="3"/>
  <c r="O4" i="3"/>
  <c r="P4" i="3"/>
  <c r="Q4" i="3"/>
  <c r="B5" i="3"/>
  <c r="C5" i="3"/>
  <c r="C12" i="3" s="1"/>
  <c r="D5" i="3"/>
  <c r="D12" i="3" s="1"/>
  <c r="E5" i="3"/>
  <c r="E12" i="3" s="1"/>
  <c r="F5" i="3"/>
  <c r="G5" i="3"/>
  <c r="H5" i="3"/>
  <c r="I5" i="3"/>
  <c r="J5" i="3"/>
  <c r="K5" i="3"/>
  <c r="L5" i="3"/>
  <c r="M5" i="3"/>
  <c r="N5" i="3"/>
  <c r="O5" i="3"/>
  <c r="P5" i="3"/>
  <c r="Q5" i="3"/>
  <c r="F23" i="2"/>
  <c r="F24" i="2"/>
  <c r="S24" i="2"/>
  <c r="V24" i="2"/>
  <c r="W24" i="2"/>
  <c r="X24" i="2"/>
  <c r="Y24" i="2"/>
  <c r="Z24" i="2"/>
  <c r="AA24" i="2"/>
  <c r="AB24" i="2"/>
  <c r="AC24" i="2"/>
  <c r="D25" i="2"/>
  <c r="S25" i="2"/>
  <c r="V25" i="2"/>
  <c r="W25" i="2"/>
  <c r="X25" i="2"/>
  <c r="Y25" i="2"/>
  <c r="Z25" i="2"/>
  <c r="AA25" i="2"/>
  <c r="AB25" i="2"/>
  <c r="AC25" i="2"/>
  <c r="D26" i="2"/>
  <c r="S26" i="2"/>
  <c r="V26" i="2"/>
  <c r="W26" i="2"/>
  <c r="X26" i="2"/>
  <c r="Y26" i="2"/>
  <c r="Z26" i="2"/>
  <c r="AA26" i="2"/>
  <c r="AB26" i="2"/>
  <c r="AC26" i="2"/>
  <c r="D27" i="2"/>
  <c r="S27" i="2"/>
  <c r="V27" i="2"/>
  <c r="W27" i="2"/>
  <c r="X27" i="2"/>
  <c r="Y27" i="2"/>
  <c r="Z27" i="2"/>
  <c r="AA27" i="2"/>
  <c r="AB27" i="2"/>
  <c r="AC27" i="2"/>
  <c r="I36" i="2"/>
  <c r="I38" i="2"/>
  <c r="I40" i="2"/>
  <c r="F16" i="5" l="1"/>
  <c r="O60" i="9" s="1"/>
  <c r="G46" i="2"/>
  <c r="G24" i="2"/>
  <c r="Q58" i="4"/>
  <c r="T58" i="4" s="1"/>
  <c r="V58" i="4" s="1"/>
  <c r="Q32" i="4"/>
  <c r="T32" i="4" s="1"/>
  <c r="V32" i="4" s="1"/>
  <c r="Q6" i="4"/>
  <c r="T6" i="4" s="1"/>
  <c r="V6" i="4" s="1"/>
  <c r="Q45" i="4"/>
  <c r="T45" i="4" s="1"/>
  <c r="V45" i="4" s="1"/>
  <c r="E45" i="4"/>
  <c r="H45" i="4" s="1"/>
  <c r="J45" i="4" s="1"/>
  <c r="E58" i="4"/>
  <c r="H58" i="4" s="1"/>
  <c r="J58" i="4" s="1"/>
  <c r="E32" i="4"/>
  <c r="H32" i="4" s="1"/>
  <c r="J32" i="4" s="1"/>
  <c r="E6" i="4"/>
  <c r="H6" i="4" s="1"/>
  <c r="J6" i="4" s="1"/>
  <c r="Q19" i="4"/>
  <c r="T19" i="4" s="1"/>
  <c r="V19" i="4" s="1"/>
  <c r="E19" i="4"/>
  <c r="H19" i="4" s="1"/>
  <c r="J19" i="4" s="1"/>
  <c r="B12" i="3"/>
  <c r="G48" i="2"/>
  <c r="C45" i="5" s="1"/>
  <c r="K69" i="9" s="1"/>
  <c r="I23" i="2"/>
  <c r="D21" i="5" s="1"/>
  <c r="I24" i="2"/>
  <c r="D22" i="5" s="1"/>
  <c r="I12" i="3"/>
  <c r="G47" i="2"/>
  <c r="C43" i="5" s="1"/>
  <c r="K68" i="9" s="1"/>
  <c r="AD25" i="2"/>
  <c r="H12" i="3"/>
  <c r="J32" i="2"/>
  <c r="K32" i="2" s="1"/>
  <c r="E70" i="5" s="1"/>
  <c r="F12" i="3"/>
  <c r="G12" i="3"/>
  <c r="AD27" i="2"/>
  <c r="AE25" i="2"/>
  <c r="AD24" i="2"/>
  <c r="H23" i="2" s="1"/>
  <c r="AD26" i="2"/>
  <c r="M46" i="2" l="1"/>
  <c r="C41" i="5"/>
  <c r="K67" i="9" s="1"/>
  <c r="J50" i="9"/>
  <c r="J52" i="9"/>
  <c r="L32" i="4"/>
  <c r="L34" i="4" s="1"/>
  <c r="K32" i="4"/>
  <c r="K34" i="4" s="1"/>
  <c r="K35" i="4" s="1"/>
  <c r="X6" i="4"/>
  <c r="X8" i="4" s="1"/>
  <c r="W6" i="4"/>
  <c r="W8" i="4" s="1"/>
  <c r="W9" i="4" s="1"/>
  <c r="L19" i="4"/>
  <c r="L21" i="4" s="1"/>
  <c r="K19" i="4"/>
  <c r="K21" i="4" s="1"/>
  <c r="K22" i="4" s="1"/>
  <c r="L58" i="4"/>
  <c r="L60" i="4" s="1"/>
  <c r="K58" i="4"/>
  <c r="K60" i="4" s="1"/>
  <c r="K61" i="4" s="1"/>
  <c r="X32" i="4"/>
  <c r="X34" i="4" s="1"/>
  <c r="W32" i="4"/>
  <c r="W34" i="4" s="1"/>
  <c r="W35" i="4" s="1"/>
  <c r="W36" i="4" s="1"/>
  <c r="W37" i="4" s="1"/>
  <c r="W38" i="4" s="1"/>
  <c r="O59" i="2" s="1"/>
  <c r="X19" i="4"/>
  <c r="X21" i="4" s="1"/>
  <c r="W19" i="4"/>
  <c r="W21" i="4" s="1"/>
  <c r="W22" i="4" s="1"/>
  <c r="K45" i="4"/>
  <c r="K47" i="4" s="1"/>
  <c r="K48" i="4" s="1"/>
  <c r="L45" i="4"/>
  <c r="L47" i="4" s="1"/>
  <c r="K49" i="4" s="1"/>
  <c r="K50" i="4" s="1"/>
  <c r="K51" i="4" s="1"/>
  <c r="O60" i="2" s="1"/>
  <c r="W58" i="4"/>
  <c r="W60" i="4" s="1"/>
  <c r="W61" i="4" s="1"/>
  <c r="X58" i="4"/>
  <c r="X60" i="4" s="1"/>
  <c r="L6" i="4"/>
  <c r="L8" i="4" s="1"/>
  <c r="K6" i="4"/>
  <c r="K8" i="4" s="1"/>
  <c r="K9" i="4" s="1"/>
  <c r="K10" i="4" s="1"/>
  <c r="K11" i="4" s="1"/>
  <c r="K12" i="4" s="1"/>
  <c r="O54" i="2" s="1"/>
  <c r="W45" i="4"/>
  <c r="W47" i="4" s="1"/>
  <c r="W48" i="4" s="1"/>
  <c r="X45" i="4"/>
  <c r="X47" i="4" s="1"/>
  <c r="H25" i="2"/>
  <c r="C23" i="5" s="1"/>
  <c r="J41" i="9" s="1"/>
  <c r="AE24" i="2"/>
  <c r="AE27" i="2"/>
  <c r="AE26" i="2"/>
  <c r="K36" i="4" l="1"/>
  <c r="K37" i="4" s="1"/>
  <c r="K38" i="4" s="1"/>
  <c r="O58" i="2" s="1"/>
  <c r="K23" i="4"/>
  <c r="K24" i="4" s="1"/>
  <c r="K25" i="4" s="1"/>
  <c r="O56" i="2" s="1"/>
  <c r="W49" i="4"/>
  <c r="W50" i="4" s="1"/>
  <c r="W51" i="4" s="1"/>
  <c r="O61" i="2" s="1"/>
  <c r="K62" i="4"/>
  <c r="K63" i="4" s="1"/>
  <c r="K64" i="4" s="1"/>
  <c r="O62" i="2" s="1"/>
  <c r="D58" i="5"/>
  <c r="O93" i="9" s="1"/>
  <c r="D56" i="5"/>
  <c r="O91" i="9" s="1"/>
  <c r="D52" i="5"/>
  <c r="O87" i="9" s="1"/>
  <c r="D57" i="5"/>
  <c r="O92" i="9" s="1"/>
  <c r="W62" i="4"/>
  <c r="W63" i="4" s="1"/>
  <c r="W64" i="4" s="1"/>
  <c r="O63" i="2" s="1"/>
  <c r="W23" i="4"/>
  <c r="W24" i="4" s="1"/>
  <c r="W25" i="4" s="1"/>
  <c r="O57" i="2" s="1"/>
  <c r="W10" i="4"/>
  <c r="W11" i="4" s="1"/>
  <c r="W12" i="4" s="1"/>
  <c r="O55" i="2" s="1"/>
  <c r="C21" i="5"/>
  <c r="K37" i="9" s="1"/>
  <c r="H24" i="2"/>
  <c r="C22" i="5" s="1"/>
  <c r="K39" i="9" s="1"/>
  <c r="D59" i="5" l="1"/>
  <c r="O94" i="9" s="1"/>
  <c r="D54" i="5"/>
  <c r="O89" i="9" s="1"/>
  <c r="D60" i="5"/>
  <c r="O95" i="9" s="1"/>
  <c r="D61" i="5"/>
  <c r="O96" i="9" s="1"/>
  <c r="D55" i="5"/>
  <c r="O90" i="9" s="1"/>
  <c r="D53" i="5"/>
  <c r="O88" i="9" s="1"/>
  <c r="R54" i="2"/>
  <c r="E65" i="2" s="1"/>
  <c r="M48" i="2"/>
  <c r="M47" i="2"/>
  <c r="N46" i="2" l="1"/>
  <c r="E69" i="5" l="1"/>
  <c r="E66" i="2"/>
  <c r="C71" i="5" s="1"/>
  <c r="I100"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22" authorId="0" shapeId="0" xr:uid="{18573CA8-5635-4763-ACCE-27522449BE7E}">
      <text>
        <r>
          <rPr>
            <b/>
            <sz val="9"/>
            <color indexed="81"/>
            <rFont val="Tahoma"/>
            <family val="2"/>
          </rPr>
          <t>USER:</t>
        </r>
        <r>
          <rPr>
            <sz val="9"/>
            <color indexed="81"/>
            <rFont val="Tahoma"/>
            <family val="2"/>
          </rPr>
          <t xml:space="preserve">
sesuaikan dengan kalibrator yang dipakai</t>
        </r>
      </text>
    </comment>
    <comment ref="I22" authorId="0" shapeId="0" xr:uid="{0F19F114-8438-4E1A-8719-F00C55CBEB4A}">
      <text>
        <r>
          <rPr>
            <b/>
            <sz val="9"/>
            <color indexed="81"/>
            <rFont val="Tahoma"/>
            <family val="2"/>
          </rPr>
          <t>USER:</t>
        </r>
        <r>
          <rPr>
            <sz val="9"/>
            <color indexed="81"/>
            <rFont val="Tahoma"/>
            <family val="2"/>
          </rPr>
          <t xml:space="preserve">
sesuaikan dengan kalibrator yang dipakai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69" authorId="0" shapeId="0" xr:uid="{FAF122A0-F819-4912-8C33-E8D36816C876}">
      <text>
        <r>
          <rPr>
            <b/>
            <sz val="9"/>
            <rFont val="Tahoma"/>
            <family val="2"/>
          </rPr>
          <t>USER:</t>
        </r>
        <r>
          <rPr>
            <sz val="9"/>
            <rFont val="Tahoma"/>
            <family val="2"/>
          </rPr>
          <t xml:space="preserve">
INPUT : AMAN / TIDAK AMAN</t>
        </r>
      </text>
    </comment>
    <comment ref="E70" authorId="0" shapeId="0" xr:uid="{5B541126-98BE-4451-837E-5FB814857046}">
      <text>
        <r>
          <rPr>
            <b/>
            <sz val="9"/>
            <rFont val="Tahoma"/>
            <family val="2"/>
          </rPr>
          <t>USER:</t>
        </r>
        <r>
          <rPr>
            <sz val="9"/>
            <rFont val="Tahoma"/>
            <family val="2"/>
          </rPr>
          <t xml:space="preserve">
input baik / tidak baik
</t>
        </r>
      </text>
    </comment>
  </commentList>
</comments>
</file>

<file path=xl/sharedStrings.xml><?xml version="1.0" encoding="utf-8"?>
<sst xmlns="http://schemas.openxmlformats.org/spreadsheetml/2006/main" count="797" uniqueCount="314">
  <si>
    <t>A. PENDATAAN ADMINISTRASI</t>
  </si>
  <si>
    <t>No. Sertifikat :</t>
  </si>
  <si>
    <t>No. Alat :</t>
  </si>
  <si>
    <t>Nama Alat :</t>
  </si>
  <si>
    <t>Pemilik :</t>
  </si>
  <si>
    <t xml:space="preserve">Merek :               </t>
  </si>
  <si>
    <t>Ruangan :</t>
  </si>
  <si>
    <t>Model/Tipe :</t>
  </si>
  <si>
    <t>Tgl. Terima :</t>
  </si>
  <si>
    <t xml:space="preserve">No. Seri :     </t>
  </si>
  <si>
    <t>Tgl. Kalibrasi :</t>
  </si>
  <si>
    <t>Kapasitas :</t>
  </si>
  <si>
    <t>Petugas Kalibrasi :</t>
  </si>
  <si>
    <t>B. DAFTAR ALAT YANG DIGUNAKAN</t>
  </si>
  <si>
    <t>No</t>
  </si>
  <si>
    <t>Nama Alat</t>
  </si>
  <si>
    <t>Merk</t>
  </si>
  <si>
    <t>Type / Model</t>
  </si>
  <si>
    <t>No. Seri</t>
  </si>
  <si>
    <t>Electrical Safety Analyzer</t>
  </si>
  <si>
    <t>Fluke Biomedical</t>
  </si>
  <si>
    <t>ESA612</t>
  </si>
  <si>
    <t>Thermohygrometer</t>
  </si>
  <si>
    <t>Taffware</t>
  </si>
  <si>
    <t>HTC-1</t>
  </si>
  <si>
    <t>TH-01</t>
  </si>
  <si>
    <t>C. PENGUKURAN KONDISI LINGKUNGAN</t>
  </si>
  <si>
    <t>Kondisi Ruang</t>
  </si>
  <si>
    <t xml:space="preserve">Awal </t>
  </si>
  <si>
    <t>Akhir</t>
  </si>
  <si>
    <t>Toleransi</t>
  </si>
  <si>
    <t>Suhu (°C)</t>
  </si>
  <si>
    <r>
      <t xml:space="preserve">25 </t>
    </r>
    <r>
      <rPr>
        <sz val="11"/>
        <rFont val="Calibri"/>
        <family val="2"/>
      </rPr>
      <t>±</t>
    </r>
    <r>
      <rPr>
        <sz val="9.8000000000000007"/>
        <rFont val="Times New Roman"/>
        <family val="1"/>
      </rPr>
      <t xml:space="preserve"> 5 </t>
    </r>
    <r>
      <rPr>
        <sz val="9.8000000000000007"/>
        <rFont val="Calibri"/>
        <family val="2"/>
      </rPr>
      <t>°</t>
    </r>
    <r>
      <rPr>
        <sz val="8.6999999999999993"/>
        <rFont val="Times New Roman"/>
        <family val="1"/>
      </rPr>
      <t>C</t>
    </r>
  </si>
  <si>
    <t>RH (%)</t>
  </si>
  <si>
    <r>
      <t xml:space="preserve">55 % </t>
    </r>
    <r>
      <rPr>
        <sz val="11"/>
        <rFont val="Calibri"/>
        <family val="2"/>
      </rPr>
      <t>±</t>
    </r>
    <r>
      <rPr>
        <sz val="9.8000000000000007"/>
        <rFont val="Times New Roman"/>
        <family val="1"/>
      </rPr>
      <t xml:space="preserve"> 20 %</t>
    </r>
  </si>
  <si>
    <t>Tegangan</t>
  </si>
  <si>
    <t>L-N</t>
  </si>
  <si>
    <t>220 ± 10% Vac</t>
  </si>
  <si>
    <t>L-G</t>
  </si>
  <si>
    <t>N-G</t>
  </si>
  <si>
    <t>D. PEMERIKSAAN FISIK DAN FUNGSI ALAT</t>
  </si>
  <si>
    <t>Bagian Alat</t>
  </si>
  <si>
    <t>Keterangan</t>
  </si>
  <si>
    <t>Hasil Pengamatan</t>
  </si>
  <si>
    <t>Badan Permukaan</t>
  </si>
  <si>
    <t>Selungkup utuh, bersih, terpasang ketat satu dan yang lainnya serta tidak ada bekas tertimpa cairan ataupun gangguan</t>
  </si>
  <si>
    <t>Baik</t>
  </si>
  <si>
    <t>Tidak baik</t>
  </si>
  <si>
    <t>Kotak kontak alat</t>
  </si>
  <si>
    <t>periksa apakah ada gangguan pada kotak kontak (AC-Power). Gerak-gerakkan kotak kontak untuk memastikan keamanannya. 
Goyang-goyangkan kotak kontak untuk memastikan tidak ada baut atau mur yang longgar.</t>
  </si>
  <si>
    <t>Kabel catu utama</t>
  </si>
  <si>
    <t>periksa kabel, apakah terlihat ada kerusakan atau bagian isolasi yang terkelupas.</t>
  </si>
  <si>
    <t>Tombol, Saklar dan pengaman</t>
  </si>
  <si>
    <t>sebelum mempergunakan/mengubah-ubah tombol kontrol, periksa posisinya, jika terlihat tidak berada pada posisinya (periksa dengan menggunakan mode pemeriksaan standar). Bandingkan dengan posisi control. Ingat peraturan tersebut dan jangan lupa untuk mengembalikan pada setting awal jika sudah selesai menggunakan.</t>
  </si>
  <si>
    <t>Tampilan indikator</t>
  </si>
  <si>
    <t>Pastikan lampu  indikator dan bagian tampilan digital berfungsi seluruhnya</t>
  </si>
  <si>
    <t>E. PENGUKURAN KESELAMATAN LISTRIK</t>
  </si>
  <si>
    <t>Tipe bagian yang diaplikasikan</t>
  </si>
  <si>
    <t>B</t>
  </si>
  <si>
    <t>BF</t>
  </si>
  <si>
    <t>CF</t>
  </si>
  <si>
    <t>Kelas proteksi</t>
  </si>
  <si>
    <t>I</t>
  </si>
  <si>
    <t>II</t>
  </si>
  <si>
    <t>Baterai</t>
  </si>
  <si>
    <t>Hubungan utama</t>
  </si>
  <si>
    <t>DPS</t>
  </si>
  <si>
    <t>NPS</t>
  </si>
  <si>
    <t>PIE</t>
  </si>
  <si>
    <t>Catatan</t>
  </si>
  <si>
    <t>PIE : peralatan yang diinstalasi permanen</t>
  </si>
  <si>
    <t>NPS : kabel catu daya yang tidak dapat dilepas</t>
  </si>
  <si>
    <t>Kabel catu daya yang dapat dilepas</t>
  </si>
  <si>
    <t>Parameter</t>
  </si>
  <si>
    <t>Terukur</t>
  </si>
  <si>
    <t>Memenuhi</t>
  </si>
  <si>
    <t>Ambang Batas</t>
  </si>
  <si>
    <t>Ya</t>
  </si>
  <si>
    <t>Tidak</t>
  </si>
  <si>
    <t>Resistansi pembumian protektif (Ω)</t>
  </si>
  <si>
    <t>√</t>
  </si>
  <si>
    <t xml:space="preserve">≤ </t>
  </si>
  <si>
    <t>Ω</t>
  </si>
  <si>
    <t>Resistansi Isolasi (MΩ)</t>
  </si>
  <si>
    <t>OR</t>
  </si>
  <si>
    <t>&gt;</t>
  </si>
  <si>
    <t>MΩ</t>
  </si>
  <si>
    <t>Arus bocor peralatan (µA)</t>
  </si>
  <si>
    <t>µA</t>
  </si>
  <si>
    <t>F. PENGUKURAN KINERJA ALAT</t>
  </si>
  <si>
    <t>III</t>
  </si>
  <si>
    <t>G. TELAAH TEKNIS</t>
  </si>
  <si>
    <t>Tidak Baik</t>
  </si>
  <si>
    <t>Kondisi Alat 10</t>
  </si>
  <si>
    <t>✓</t>
  </si>
  <si>
    <t>Keselamatan Listrik 40</t>
  </si>
  <si>
    <t>Kinerja Peralatan 50</t>
  </si>
  <si>
    <t>H. KESIMPULAAN TELAAH TEKNIS KALIBRASI</t>
  </si>
  <si>
    <t>Baik dan laik untuk digunakan</t>
  </si>
  <si>
    <t>Tidak baik dan tidak laik untuk digunakan</t>
  </si>
  <si>
    <t>CATATAN:</t>
  </si>
  <si>
    <t>wajib diisi</t>
  </si>
  <si>
    <t>dilakukan penggantian data sesuai dengan kalibrator yang digunakan</t>
  </si>
  <si>
    <t>LEMBAR KERJA PENGUJIAN HEMATOLOGI ANALYZER</t>
  </si>
  <si>
    <t xml:space="preserve"> Kontrol Standard / CRM</t>
  </si>
  <si>
    <t>Hasil pembacaan UUT</t>
  </si>
  <si>
    <t>Score</t>
  </si>
  <si>
    <t>Bobot</t>
  </si>
  <si>
    <t>Hasil</t>
  </si>
  <si>
    <t>U95</t>
  </si>
  <si>
    <t>ESDM</t>
  </si>
  <si>
    <t>terkoreksi</t>
  </si>
  <si>
    <t>Jika pada uut kelas II tidak perlu mengukur resistansi pembumian protektif</t>
  </si>
  <si>
    <t>KETERANGAN</t>
  </si>
  <si>
    <t>Terkoreksi</t>
  </si>
  <si>
    <t xml:space="preserve">Bobot </t>
  </si>
  <si>
    <t>Digital thermohygrometer</t>
  </si>
  <si>
    <t>Vac</t>
  </si>
  <si>
    <t>Kelelmbaban</t>
  </si>
  <si>
    <t>Suhu</t>
  </si>
  <si>
    <t>Kelembaban</t>
  </si>
  <si>
    <t>X variabel</t>
  </si>
  <si>
    <t>Intercept</t>
  </si>
  <si>
    <t>Mean Terkoreksi</t>
  </si>
  <si>
    <t>Tgl. Kalibrasi</t>
  </si>
  <si>
    <t>Regresi Kelembaban</t>
  </si>
  <si>
    <t>Regresi Suhu</t>
  </si>
  <si>
    <t>Type</t>
  </si>
  <si>
    <t>Nama</t>
  </si>
  <si>
    <t>ktps</t>
  </si>
  <si>
    <t>mean terkoreksi</t>
  </si>
  <si>
    <t>mean</t>
  </si>
  <si>
    <t>Resolusi :</t>
  </si>
  <si>
    <r>
      <t>Resistansi 
Isolasi (M</t>
    </r>
    <r>
      <rPr>
        <sz val="11"/>
        <color theme="1"/>
        <rFont val="Calibri"/>
        <family val="2"/>
      </rPr>
      <t>Ω</t>
    </r>
    <r>
      <rPr>
        <sz val="11"/>
        <color theme="1"/>
        <rFont val="Calibri"/>
        <family val="2"/>
        <charset val="1"/>
      </rPr>
      <t>)</t>
    </r>
  </si>
  <si>
    <r>
      <t>Resistansi 
Pembumian (</t>
    </r>
    <r>
      <rPr>
        <sz val="11"/>
        <color theme="1"/>
        <rFont val="Calibri"/>
        <family val="2"/>
      </rPr>
      <t>Ω</t>
    </r>
    <r>
      <rPr>
        <sz val="11"/>
        <color theme="1"/>
        <rFont val="Calibri"/>
        <family val="2"/>
        <charset val="1"/>
      </rPr>
      <t>)</t>
    </r>
  </si>
  <si>
    <r>
      <t>Arus Bocor
 peralatan (</t>
    </r>
    <r>
      <rPr>
        <sz val="11"/>
        <color theme="1"/>
        <rFont val="Calibri"/>
        <family val="2"/>
      </rPr>
      <t>µ</t>
    </r>
    <r>
      <rPr>
        <sz val="11"/>
        <color theme="1"/>
        <rFont val="Calibri"/>
        <family val="2"/>
        <charset val="1"/>
      </rPr>
      <t>A)</t>
    </r>
  </si>
  <si>
    <t>resolusi:</t>
  </si>
  <si>
    <t>Glukosa</t>
  </si>
  <si>
    <t>Protein</t>
  </si>
  <si>
    <t>Ph</t>
  </si>
  <si>
    <t>Specific Gravity</t>
  </si>
  <si>
    <t>Blood / Erythrocyte</t>
  </si>
  <si>
    <t>Leukosit</t>
  </si>
  <si>
    <t>Nitrit</t>
  </si>
  <si>
    <t>Keton</t>
  </si>
  <si>
    <t>Bilirubin</t>
  </si>
  <si>
    <t>Urobilinogen</t>
  </si>
  <si>
    <t>Urine Analyzer</t>
  </si>
  <si>
    <t>Komponen</t>
  </si>
  <si>
    <t xml:space="preserve">satuan </t>
  </si>
  <si>
    <t>Distribusi</t>
  </si>
  <si>
    <t>U</t>
  </si>
  <si>
    <t>Pembagi</t>
  </si>
  <si>
    <t>v</t>
  </si>
  <si>
    <t>u</t>
  </si>
  <si>
    <t>c</t>
  </si>
  <si>
    <t>(u.c)</t>
  </si>
  <si>
    <t>(u.c)²</t>
  </si>
  <si>
    <t>(u.c)⁴/v</t>
  </si>
  <si>
    <t>Pengukuran berulang</t>
  </si>
  <si>
    <t>t-student</t>
  </si>
  <si>
    <t>Sertifikat standar</t>
  </si>
  <si>
    <t>Normal</t>
  </si>
  <si>
    <t>Resolusi</t>
  </si>
  <si>
    <t>Rectangular</t>
  </si>
  <si>
    <t>Drift</t>
  </si>
  <si>
    <t>Jumlah</t>
  </si>
  <si>
    <t>Ketidakpastian baku gabungan, Uc</t>
  </si>
  <si>
    <t>Derajat kebebasan effektif, V eff</t>
  </si>
  <si>
    <t>Faktor cakupan, k-student untuk Veff dan CL 95%</t>
  </si>
  <si>
    <t>Ketidakpastian bentangan, U=k.Uc</t>
  </si>
  <si>
    <t>Mg/dl</t>
  </si>
  <si>
    <t>standar deviasi</t>
  </si>
  <si>
    <t>Nama Pelanggan :</t>
  </si>
  <si>
    <t>Rentang Ukur :</t>
  </si>
  <si>
    <t>Ruangan Tempat Alat :</t>
  </si>
  <si>
    <t>Tgl. Terima</t>
  </si>
  <si>
    <t>Nama Petugas Kalibrasi :</t>
  </si>
  <si>
    <t>Tipe / Model</t>
  </si>
  <si>
    <t>No.</t>
  </si>
  <si>
    <t>Terukur Koreksi</t>
  </si>
  <si>
    <t xml:space="preserve">Tidak </t>
  </si>
  <si>
    <t>VI.  Kesimpulan</t>
  </si>
  <si>
    <t>a.</t>
  </si>
  <si>
    <t>Pengujian keselamatan listrik dinyatakan :</t>
  </si>
  <si>
    <t>b.</t>
  </si>
  <si>
    <t>Pengujian fisik dan fungsi  dinyatakan :</t>
  </si>
  <si>
    <t>c.</t>
  </si>
  <si>
    <r>
      <rPr>
        <i/>
        <sz val="11"/>
        <rFont val="Times New Roman"/>
        <family val="1"/>
      </rPr>
      <t>Alat dinyatakan</t>
    </r>
    <r>
      <rPr>
        <b/>
        <i/>
        <sz val="11"/>
        <rFont val="Times New Roman"/>
        <family val="1"/>
      </rPr>
      <t xml:space="preserve"> </t>
    </r>
  </si>
  <si>
    <t>d.</t>
  </si>
  <si>
    <t>Disarankan agar dilakukan kalibrasi ulang sesuai jadwal secara berkala</t>
  </si>
  <si>
    <t>el</t>
  </si>
  <si>
    <t>Nomor Sertifikat</t>
  </si>
  <si>
    <t>:</t>
  </si>
  <si>
    <t xml:space="preserve">Certificate Number </t>
  </si>
  <si>
    <t>SERTIFIKAT KALIBRASI</t>
  </si>
  <si>
    <t>Calibration Certificate</t>
  </si>
  <si>
    <t>DATA ALAT</t>
  </si>
  <si>
    <t>Instrument ID</t>
  </si>
  <si>
    <t>Device Name</t>
  </si>
  <si>
    <t>Brand</t>
  </si>
  <si>
    <t>Type/Model</t>
  </si>
  <si>
    <t>Nomor Seri</t>
  </si>
  <si>
    <t>Serial Number</t>
  </si>
  <si>
    <t>Resolution</t>
  </si>
  <si>
    <t>IDENTITAS PELANGGAN</t>
  </si>
  <si>
    <t>Customer ID</t>
  </si>
  <si>
    <t>Pelanggan</t>
  </si>
  <si>
    <t>Customer</t>
  </si>
  <si>
    <t>Alamat</t>
  </si>
  <si>
    <t>Address</t>
  </si>
  <si>
    <t>Sertifikat ini terdiri dari</t>
  </si>
  <si>
    <t>This certificate consist of</t>
  </si>
  <si>
    <t>Diterbitkan tanggal</t>
  </si>
  <si>
    <t>Published date</t>
  </si>
  <si>
    <t>PT. Presisi Kalibrasi Medika</t>
  </si>
  <si>
    <t>Samsurizal</t>
  </si>
  <si>
    <t>Direktur</t>
  </si>
  <si>
    <t>Director</t>
  </si>
  <si>
    <t>~End of Certificate~</t>
  </si>
  <si>
    <t>~Akhir dari Sertifikat~</t>
  </si>
  <si>
    <t>Technical Manager</t>
  </si>
  <si>
    <t>Manajer Teknis</t>
  </si>
  <si>
    <t>Eliza Novianti, A.Md.T</t>
  </si>
  <si>
    <t>Responsible Person</t>
  </si>
  <si>
    <t>Penanggung Jawab</t>
  </si>
  <si>
    <t>Testing and calibration results are only related to the condition and unit of
the instrument being report.</t>
  </si>
  <si>
    <t>Hasil pengujian dan kalibrasi hanya terkait dengan kondisi yang dilaporkan.</t>
  </si>
  <si>
    <t>Uncertainty of measurement is exoressed at confidence level of 95 % 
with a converage factor k = 2.</t>
  </si>
  <si>
    <t>Nilai ketidakpastian pengukuran dinyatakan pada tingkat kepercayaan 95%, 
dengan faktor cakupan k = 2.</t>
  </si>
  <si>
    <t>Note</t>
  </si>
  <si>
    <t>Catatan :</t>
  </si>
  <si>
    <t>Do testing and calibration on repeat</t>
  </si>
  <si>
    <t>Recommendation</t>
  </si>
  <si>
    <t>Lakukan pengujian dan kalibrasi ulang secara berkala</t>
  </si>
  <si>
    <t>Saran</t>
  </si>
  <si>
    <t>Feasible to use</t>
  </si>
  <si>
    <t>Conclusion</t>
  </si>
  <si>
    <t>Kesimpulan</t>
  </si>
  <si>
    <t>Conclusion And Recommendation</t>
  </si>
  <si>
    <t>KESIMPULAN DAN SARAN</t>
  </si>
  <si>
    <t>G.</t>
  </si>
  <si>
    <r>
      <t xml:space="preserve">Parameter
</t>
    </r>
    <r>
      <rPr>
        <i/>
        <sz val="9"/>
        <color theme="1"/>
        <rFont val="Calibri"/>
        <family val="2"/>
        <scheme val="minor"/>
      </rPr>
      <t>Parameters</t>
    </r>
  </si>
  <si>
    <r>
      <t>Ketidakpastian (</t>
    </r>
    <r>
      <rPr>
        <sz val="11"/>
        <color theme="1"/>
        <rFont val="Calibri"/>
        <family val="2"/>
      </rPr>
      <t>±)</t>
    </r>
    <r>
      <rPr>
        <sz val="11"/>
        <color theme="1"/>
        <rFont val="Calibri"/>
        <family val="2"/>
        <scheme val="minor"/>
      </rPr>
      <t xml:space="preserve">
</t>
    </r>
    <r>
      <rPr>
        <i/>
        <sz val="9"/>
        <color theme="1"/>
        <rFont val="Calibri"/>
        <family val="2"/>
        <scheme val="minor"/>
      </rPr>
      <t>Uncertainty (</t>
    </r>
    <r>
      <rPr>
        <sz val="9"/>
        <color theme="1"/>
        <rFont val="Calibri"/>
        <family val="2"/>
      </rPr>
      <t>±</t>
    </r>
    <r>
      <rPr>
        <i/>
        <sz val="9"/>
        <color theme="1"/>
        <rFont val="Calibri"/>
        <family val="2"/>
      </rPr>
      <t>)</t>
    </r>
    <r>
      <rPr>
        <sz val="11"/>
        <color theme="1"/>
        <rFont val="Calibri"/>
        <family val="2"/>
        <scheme val="minor"/>
      </rPr>
      <t xml:space="preserve">
</t>
    </r>
  </si>
  <si>
    <t>Performance Measurement</t>
  </si>
  <si>
    <t>PENGUKURAN KINERJA</t>
  </si>
  <si>
    <t>F.</t>
  </si>
  <si>
    <t>≤ 500 µA</t>
  </si>
  <si>
    <t>&gt; 2 MΩ</t>
  </si>
  <si>
    <t>≤ 0.3 Ω</t>
  </si>
  <si>
    <t>Tolerance</t>
  </si>
  <si>
    <t>Standard Reading</t>
  </si>
  <si>
    <t>Terukur/Hasil</t>
  </si>
  <si>
    <t>Measurement Of Electrical Safety</t>
  </si>
  <si>
    <t>PENGUKURAN KESELAMATAN LISTRIK</t>
  </si>
  <si>
    <t>E.</t>
  </si>
  <si>
    <t>Model/Type</t>
  </si>
  <si>
    <t>Instrument standard</t>
  </si>
  <si>
    <t>List Of Instrument Standard</t>
  </si>
  <si>
    <t>DAFTAR ALAT YANG DIGUNAKAN</t>
  </si>
  <si>
    <t>D.</t>
  </si>
  <si>
    <t xml:space="preserve"> Instrument Function</t>
  </si>
  <si>
    <t>Good</t>
  </si>
  <si>
    <t>/</t>
  </si>
  <si>
    <t>Fungsi Alat</t>
  </si>
  <si>
    <t xml:space="preserve"> Instrument Physical</t>
  </si>
  <si>
    <t>Fisik Alat</t>
  </si>
  <si>
    <t>Physcal And Function Inspection Result</t>
  </si>
  <si>
    <t>PENGAMATAN KONDISI FISIK DAN FUNGSI</t>
  </si>
  <si>
    <t>C.</t>
  </si>
  <si>
    <t>Power Supply Voltage</t>
  </si>
  <si>
    <t>Sumber Tegangan</t>
  </si>
  <si>
    <t>Humidity</t>
  </si>
  <si>
    <t>)%RH</t>
  </si>
  <si>
    <t>±</t>
  </si>
  <si>
    <t>(</t>
  </si>
  <si>
    <t xml:space="preserve">Kelembaban </t>
  </si>
  <si>
    <t>Temperature</t>
  </si>
  <si>
    <t>)°C</t>
  </si>
  <si>
    <t xml:space="preserve">Suhu </t>
  </si>
  <si>
    <t>Environment Condition</t>
  </si>
  <si>
    <t xml:space="preserve">KONDISI RUANGAN </t>
  </si>
  <si>
    <t>B.</t>
  </si>
  <si>
    <t>Valid Until</t>
  </si>
  <si>
    <t>Berlaku Sampai Dengan</t>
  </si>
  <si>
    <t>Calibration Date</t>
  </si>
  <si>
    <t>Tanggal Kalibrasi</t>
  </si>
  <si>
    <t xml:space="preserve">Order Received </t>
  </si>
  <si>
    <t>Tanggal Penerimaan Alat</t>
  </si>
  <si>
    <t>Instrument Location</t>
  </si>
  <si>
    <t>Ruangan Alat</t>
  </si>
  <si>
    <t>Administration</t>
  </si>
  <si>
    <t>PENDATAAN ADMINISTRASI</t>
  </si>
  <si>
    <t>A.</t>
  </si>
  <si>
    <t>Calibration Report</t>
  </si>
  <si>
    <t>LAPORAN KALIBRASI</t>
  </si>
  <si>
    <t>1. Pengujian Kinerja</t>
  </si>
  <si>
    <t>Hasil Pembacaan</t>
  </si>
  <si>
    <t>Ketidakpastian</t>
  </si>
  <si>
    <t>Total kinerja</t>
  </si>
  <si>
    <t>Total score</t>
  </si>
  <si>
    <t>LULUS</t>
  </si>
  <si>
    <r>
      <t xml:space="preserve">Pembacaan Hasil
</t>
    </r>
    <r>
      <rPr>
        <i/>
        <sz val="10"/>
        <color theme="1"/>
        <rFont val="Calibri"/>
        <family val="2"/>
        <scheme val="minor"/>
      </rPr>
      <t>Reading of result</t>
    </r>
    <r>
      <rPr>
        <sz val="11"/>
        <color theme="1"/>
        <rFont val="Calibri"/>
        <family val="2"/>
        <scheme val="minor"/>
      </rPr>
      <t xml:space="preserve">
</t>
    </r>
  </si>
  <si>
    <t>5 halaman</t>
  </si>
  <si>
    <t>Metode Kerja Pengujian IEC 60601-1 : 2005 dan ECRI 15551</t>
  </si>
  <si>
    <t>Reference metode by IEC 60601-1 : 2005 and ECRI 15551</t>
  </si>
  <si>
    <t>LEMBAR KERJA PENGUJIAN URINE ANALYZER</t>
  </si>
  <si>
    <t>Hasil kalibrasi dilaporkan tertelusur ke standar internasional melalui LK-110-IDN.</t>
  </si>
  <si>
    <t xml:space="preserve">Calibration results are reported traceable to international standards to LK-110-IDN. </t>
  </si>
  <si>
    <t>S.612</t>
  </si>
  <si>
    <t>SM</t>
  </si>
  <si>
    <t>SM S-600</t>
  </si>
  <si>
    <t>R. Laboratorium</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</si>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</sst>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
    <numFmt numFmtId="166" formatCode="0.00000000000"/>
    <numFmt numFmtId="167" formatCode="0.0000"/>
    <numFmt numFmtId="168" formatCode="_([$$-409]* #,##0.00_);_([$$-409]* \(#,##0.00\);_([$$-409]* &quot;-&quot;??_);_(@_)"/>
    <numFmt numFmtId="169" formatCode="[$-421]dd\ mmmm\ yyyy;@"/>
    <numFmt numFmtId="170" formatCode="[$-13809]dd\ mmmm\ yyyy;@"/>
  </numFmts>
  <fonts count="51">
    <font>
      <sz val="11"/>
      <color theme="1"/>
      <name val="Calibri"/>
      <family val="2"/>
      <scheme val="minor"/>
    </font>
    <font>
      <sz val="11"/>
      <color theme="1"/>
      <name val="Calibri"/>
      <family val="2"/>
      <scheme val="minor"/>
    </font>
    <font>
      <sz val="10"/>
      <name val="Arial"/>
      <family val="2"/>
    </font>
    <font>
      <sz val="11"/>
      <name val="Times New Roman"/>
      <family val="1"/>
    </font>
    <font>
      <b/>
      <u/>
      <sz val="11"/>
      <name val="Times New Roman"/>
      <family val="1"/>
    </font>
    <font>
      <b/>
      <sz val="11"/>
      <name val="Times New Roman"/>
      <family val="1"/>
    </font>
    <font>
      <b/>
      <i/>
      <sz val="11"/>
      <name val="Times New Roman"/>
      <family val="1"/>
    </font>
    <font>
      <b/>
      <sz val="12"/>
      <name val="Arial"/>
      <family val="2"/>
    </font>
    <font>
      <b/>
      <sz val="12"/>
      <color theme="1"/>
      <name val="Times New Roman"/>
      <family val="1"/>
    </font>
    <font>
      <sz val="11"/>
      <color theme="1" tint="4.9989318521683403E-2"/>
      <name val="Times New Roman"/>
      <family val="1"/>
    </font>
    <font>
      <sz val="11"/>
      <color theme="1"/>
      <name val="Times New Roman"/>
      <family val="1"/>
    </font>
    <font>
      <sz val="11"/>
      <color theme="1"/>
      <name val="Calibri"/>
      <family val="2"/>
      <charset val="1"/>
      <scheme val="minor"/>
    </font>
    <font>
      <sz val="11"/>
      <name val="Calibri"/>
      <family val="2"/>
    </font>
    <font>
      <sz val="9.8000000000000007"/>
      <name val="Times New Roman"/>
      <family val="1"/>
    </font>
    <font>
      <sz val="9.8000000000000007"/>
      <name val="Calibri"/>
      <family val="2"/>
    </font>
    <font>
      <sz val="8.6999999999999993"/>
      <name val="Times New Roman"/>
      <family val="1"/>
    </font>
    <font>
      <sz val="10"/>
      <name val="Times New Roman"/>
      <family val="1"/>
    </font>
    <font>
      <sz val="10"/>
      <name val="Calibri"/>
      <family val="2"/>
    </font>
    <font>
      <sz val="12"/>
      <color theme="1"/>
      <name val="Times New Roman"/>
      <family val="1"/>
    </font>
    <font>
      <sz val="11"/>
      <color theme="1"/>
      <name val="Calibri"/>
      <family val="2"/>
    </font>
    <font>
      <sz val="11"/>
      <color rgb="FF000000"/>
      <name val="+mn-ea"/>
    </font>
    <font>
      <b/>
      <sz val="11"/>
      <color theme="1"/>
      <name val="Times New Roman"/>
      <family val="1"/>
    </font>
    <font>
      <sz val="12"/>
      <name val="Times New Roman"/>
      <family val="1"/>
    </font>
    <font>
      <b/>
      <sz val="10"/>
      <name val="Arial"/>
      <family val="2"/>
    </font>
    <font>
      <b/>
      <sz val="9"/>
      <color indexed="81"/>
      <name val="Tahoma"/>
      <family val="2"/>
    </font>
    <font>
      <sz val="9"/>
      <color indexed="81"/>
      <name val="Tahoma"/>
      <family val="2"/>
    </font>
    <font>
      <sz val="11"/>
      <color theme="1"/>
      <name val="Calibri"/>
      <family val="2"/>
      <charset val="1"/>
    </font>
    <font>
      <b/>
      <sz val="11"/>
      <color theme="1"/>
      <name val="Calibri"/>
      <family val="2"/>
      <scheme val="minor"/>
    </font>
    <font>
      <b/>
      <sz val="11"/>
      <color rgb="FF000000"/>
      <name val="Calibri"/>
      <family val="2"/>
      <scheme val="minor"/>
    </font>
    <font>
      <sz val="11"/>
      <color rgb="FF000000"/>
      <name val="Calibri"/>
      <family val="2"/>
      <scheme val="minor"/>
    </font>
    <font>
      <b/>
      <sz val="10"/>
      <name val="Times New Roman"/>
      <family val="1"/>
    </font>
    <font>
      <sz val="10"/>
      <color theme="1"/>
      <name val="Times New Roman"/>
      <family val="1"/>
    </font>
    <font>
      <i/>
      <sz val="11"/>
      <name val="Times New Roman"/>
      <family val="1"/>
    </font>
    <font>
      <sz val="15"/>
      <name val="Times New Roman"/>
      <family val="1"/>
    </font>
    <font>
      <b/>
      <sz val="9"/>
      <name val="Tahoma"/>
      <family val="2"/>
    </font>
    <font>
      <sz val="9"/>
      <name val="Tahoma"/>
      <family val="2"/>
    </font>
    <font>
      <sz val="8"/>
      <color theme="1"/>
      <name val="Calibri"/>
      <family val="2"/>
      <scheme val="minor"/>
    </font>
    <font>
      <sz val="12"/>
      <color theme="1"/>
      <name val="Calibri"/>
      <family val="2"/>
      <scheme val="minor"/>
    </font>
    <font>
      <i/>
      <sz val="9"/>
      <color theme="1"/>
      <name val="Calibri"/>
      <family val="2"/>
      <scheme val="minor"/>
    </font>
    <font>
      <sz val="16"/>
      <color theme="1"/>
      <name val="Calibri"/>
      <family val="2"/>
      <scheme val="minor"/>
    </font>
    <font>
      <i/>
      <sz val="11"/>
      <color theme="1"/>
      <name val="Calibri"/>
      <family val="2"/>
      <scheme val="minor"/>
    </font>
    <font>
      <b/>
      <sz val="14"/>
      <color theme="1"/>
      <name val="Calibri"/>
      <family val="2"/>
      <scheme val="minor"/>
    </font>
    <font>
      <b/>
      <sz val="12"/>
      <color theme="1"/>
      <name val="Calibri"/>
      <family val="2"/>
      <scheme val="minor"/>
    </font>
    <font>
      <sz val="9"/>
      <color theme="1"/>
      <name val="Calibri"/>
      <family val="2"/>
      <scheme val="minor"/>
    </font>
    <font>
      <i/>
      <sz val="10"/>
      <color theme="1"/>
      <name val="Calibri"/>
      <family val="2"/>
      <scheme val="minor"/>
    </font>
    <font>
      <b/>
      <u/>
      <sz val="12"/>
      <color theme="1"/>
      <name val="Calibri"/>
      <family val="2"/>
      <scheme val="minor"/>
    </font>
    <font>
      <sz val="10"/>
      <name val="Calibri"/>
      <family val="2"/>
      <scheme val="minor"/>
    </font>
    <font>
      <sz val="9"/>
      <color theme="1"/>
      <name val="Calibri"/>
      <family val="2"/>
    </font>
    <font>
      <i/>
      <sz val="9"/>
      <color theme="1"/>
      <name val="Calibri"/>
      <family val="2"/>
    </font>
    <font>
      <i/>
      <sz val="9"/>
      <color theme="1"/>
      <name val="Clibri"/>
      <charset val="1"/>
    </font>
    <font>
      <sz val="11"/>
      <color theme="1"/>
      <name val="Calibri "/>
      <charset val="1"/>
    </font>
  </fonts>
  <fills count="13">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FFFFFF"/>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4" tint="0.79995117038483843"/>
        <bgColor indexed="64"/>
      </patternFill>
    </fill>
    <fill>
      <patternFill patternType="solid">
        <fgColor theme="8" tint="0.79995117038483843"/>
        <bgColor indexed="64"/>
      </patternFill>
    </fill>
    <fill>
      <patternFill patternType="solid">
        <fgColor theme="5" tint="0.3999450666829432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double">
        <color indexed="64"/>
      </bottom>
      <diagonal/>
    </border>
    <border>
      <left/>
      <right/>
      <top/>
      <bottom style="medium">
        <color indexed="64"/>
      </bottom>
      <diagonal/>
    </border>
  </borders>
  <cellStyleXfs count="9">
    <xf numFmtId="0" fontId="0" fillId="0" borderId="0"/>
    <xf numFmtId="0" fontId="2" fillId="0" borderId="0"/>
    <xf numFmtId="0" fontId="2" fillId="0" borderId="0"/>
    <xf numFmtId="0" fontId="1" fillId="0" borderId="0"/>
    <xf numFmtId="0" fontId="11" fillId="0" borderId="0"/>
    <xf numFmtId="0" fontId="2" fillId="0" borderId="0"/>
    <xf numFmtId="0" fontId="2" fillId="0" borderId="0"/>
    <xf numFmtId="0" fontId="2" fillId="0" borderId="0"/>
    <xf numFmtId="9" fontId="1" fillId="0" borderId="0" applyFont="0" applyFill="0" applyBorder="0" applyAlignment="0" applyProtection="0"/>
  </cellStyleXfs>
  <cellXfs count="400">
    <xf numFmtId="0" fontId="0" fillId="0" borderId="0" xfId="0"/>
    <xf numFmtId="0" fontId="3" fillId="0" borderId="0" xfId="1" applyFont="1"/>
    <xf numFmtId="0" fontId="3" fillId="0" borderId="0" xfId="1" applyFont="1" applyAlignment="1">
      <alignment horizontal="left"/>
    </xf>
    <xf numFmtId="0" fontId="3" fillId="0" borderId="0" xfId="2" applyFont="1"/>
    <xf numFmtId="0" fontId="4" fillId="0" borderId="0" xfId="1" applyFont="1"/>
    <xf numFmtId="0" fontId="4" fillId="0" borderId="0" xfId="1" applyFont="1" applyAlignment="1">
      <alignment horizontal="center"/>
    </xf>
    <xf numFmtId="0" fontId="3" fillId="0" borderId="0" xfId="1" applyFont="1" applyAlignment="1">
      <alignment horizontal="center"/>
    </xf>
    <xf numFmtId="0" fontId="5" fillId="0" borderId="0" xfId="1" applyFont="1"/>
    <xf numFmtId="0" fontId="6" fillId="0" borderId="0" xfId="1" applyFont="1" applyAlignment="1">
      <alignment horizontal="left"/>
    </xf>
    <xf numFmtId="0" fontId="3" fillId="2" borderId="2" xfId="1" applyFont="1" applyFill="1" applyBorder="1"/>
    <xf numFmtId="0" fontId="3" fillId="2" borderId="3" xfId="1" applyFont="1" applyFill="1" applyBorder="1"/>
    <xf numFmtId="0" fontId="7" fillId="0" borderId="0" xfId="2" applyFont="1"/>
    <xf numFmtId="0" fontId="2" fillId="0" borderId="0" xfId="2"/>
    <xf numFmtId="0" fontId="2" fillId="0" borderId="0" xfId="2" applyAlignment="1">
      <alignment vertical="center"/>
    </xf>
    <xf numFmtId="0" fontId="8" fillId="0" borderId="0" xfId="3" applyFont="1" applyAlignment="1">
      <alignment vertical="center"/>
    </xf>
    <xf numFmtId="0" fontId="5" fillId="0" borderId="0" xfId="1" applyFont="1" applyAlignment="1">
      <alignment vertical="center"/>
    </xf>
    <xf numFmtId="0" fontId="2" fillId="0" borderId="0" xfId="2" applyAlignment="1">
      <alignment horizontal="center" vertical="center"/>
    </xf>
    <xf numFmtId="0" fontId="2" fillId="0" borderId="0" xfId="2" applyAlignment="1">
      <alignment horizontal="center"/>
    </xf>
    <xf numFmtId="2" fontId="9" fillId="0" borderId="0" xfId="1" applyNumberFormat="1" applyFont="1" applyAlignment="1">
      <alignment horizontal="center" vertical="center"/>
    </xf>
    <xf numFmtId="0" fontId="3" fillId="0" borderId="0" xfId="1" quotePrefix="1" applyFont="1" applyAlignment="1">
      <alignment horizontal="left"/>
    </xf>
    <xf numFmtId="49" fontId="3" fillId="0" borderId="0" xfId="1" applyNumberFormat="1" applyFont="1" applyAlignment="1">
      <alignment horizontal="left"/>
    </xf>
    <xf numFmtId="0" fontId="5" fillId="0" borderId="0" xfId="1" applyFont="1" applyAlignment="1">
      <alignment horizontal="left"/>
    </xf>
    <xf numFmtId="15" fontId="3" fillId="0" borderId="0" xfId="1" applyNumberFormat="1" applyFont="1" applyAlignment="1">
      <alignment horizontal="center" vertical="center"/>
    </xf>
    <xf numFmtId="0" fontId="3" fillId="0" borderId="0" xfId="1" applyFont="1" applyAlignment="1">
      <alignment horizontal="center" vertical="center"/>
    </xf>
    <xf numFmtId="0" fontId="5" fillId="3" borderId="1" xfId="1" applyFont="1" applyFill="1" applyBorder="1" applyAlignment="1">
      <alignment horizontal="center" vertical="center"/>
    </xf>
    <xf numFmtId="15" fontId="5" fillId="3" borderId="1" xfId="1" applyNumberFormat="1" applyFont="1" applyFill="1" applyBorder="1" applyAlignment="1">
      <alignment horizontal="center" vertical="center"/>
    </xf>
    <xf numFmtId="0" fontId="5" fillId="3" borderId="1" xfId="1" applyFont="1" applyFill="1" applyBorder="1" applyAlignment="1">
      <alignment horizontal="center"/>
    </xf>
    <xf numFmtId="0" fontId="3" fillId="0" borderId="4" xfId="1" applyFont="1" applyBorder="1" applyAlignment="1">
      <alignment horizontal="center" vertical="center"/>
    </xf>
    <xf numFmtId="0" fontId="2" fillId="4" borderId="1" xfId="2" applyFill="1" applyBorder="1" applyAlignment="1">
      <alignment horizontal="center"/>
    </xf>
    <xf numFmtId="15" fontId="3" fillId="4" borderId="1" xfId="1" applyNumberFormat="1" applyFont="1" applyFill="1" applyBorder="1" applyAlignment="1">
      <alignment horizontal="center" vertical="center"/>
    </xf>
    <xf numFmtId="0" fontId="3" fillId="4" borderId="1" xfId="1" applyFont="1" applyFill="1" applyBorder="1" applyAlignment="1">
      <alignment horizontal="center" vertical="center"/>
    </xf>
    <xf numFmtId="0" fontId="3" fillId="0" borderId="1" xfId="1" applyFont="1" applyBorder="1" applyAlignment="1">
      <alignment horizontal="center" vertical="center"/>
    </xf>
    <xf numFmtId="0" fontId="5" fillId="0" borderId="0" xfId="1" applyFont="1" applyAlignment="1">
      <alignment horizontal="center"/>
    </xf>
    <xf numFmtId="0" fontId="5" fillId="3" borderId="2" xfId="1" applyFont="1" applyFill="1" applyBorder="1" applyAlignment="1">
      <alignment horizontal="center" vertical="center"/>
    </xf>
    <xf numFmtId="0" fontId="11" fillId="0" borderId="0" xfId="4"/>
    <xf numFmtId="0" fontId="3" fillId="0" borderId="2" xfId="1" applyFont="1" applyBorder="1" applyAlignment="1">
      <alignment horizontal="left"/>
    </xf>
    <xf numFmtId="164" fontId="3" fillId="2" borderId="1" xfId="1" applyNumberFormat="1" applyFont="1" applyFill="1" applyBorder="1" applyAlignment="1">
      <alignment horizontal="center" vertical="center"/>
    </xf>
    <xf numFmtId="0" fontId="3" fillId="0" borderId="1" xfId="1" applyFont="1" applyBorder="1" applyAlignment="1">
      <alignment horizontal="center"/>
    </xf>
    <xf numFmtId="1" fontId="3" fillId="2" borderId="1" xfId="1" applyNumberFormat="1" applyFont="1" applyFill="1" applyBorder="1" applyAlignment="1">
      <alignment horizontal="center" vertical="center"/>
    </xf>
    <xf numFmtId="0" fontId="11" fillId="2" borderId="1" xfId="4" applyFill="1" applyBorder="1" applyAlignment="1">
      <alignment horizontal="center"/>
    </xf>
    <xf numFmtId="0" fontId="11" fillId="2" borderId="1" xfId="4" applyFill="1" applyBorder="1"/>
    <xf numFmtId="0" fontId="2" fillId="0" borderId="0" xfId="5"/>
    <xf numFmtId="0" fontId="2" fillId="0" borderId="0" xfId="6"/>
    <xf numFmtId="0" fontId="3" fillId="6" borderId="1" xfId="1" applyFont="1" applyFill="1" applyBorder="1" applyAlignment="1">
      <alignment horizontal="center" vertical="center"/>
    </xf>
    <xf numFmtId="0" fontId="5" fillId="0" borderId="0" xfId="1" applyFont="1" applyAlignment="1">
      <alignment horizontal="center" vertical="center"/>
    </xf>
    <xf numFmtId="0" fontId="3" fillId="0" borderId="0" xfId="2" applyFont="1" applyAlignment="1">
      <alignment horizontal="center"/>
    </xf>
    <xf numFmtId="0" fontId="5" fillId="0" borderId="0" xfId="2" applyFont="1"/>
    <xf numFmtId="165" fontId="3" fillId="2" borderId="1" xfId="1" applyNumberFormat="1" applyFont="1" applyFill="1" applyBorder="1" applyAlignment="1">
      <alignment horizontal="center" vertical="center"/>
    </xf>
    <xf numFmtId="0" fontId="2" fillId="6" borderId="1" xfId="2" applyFill="1" applyBorder="1" applyAlignment="1">
      <alignment horizontal="center" vertical="center"/>
    </xf>
    <xf numFmtId="0" fontId="3" fillId="6" borderId="1" xfId="7" applyFont="1" applyFill="1" applyBorder="1" applyAlignment="1">
      <alignment horizontal="center" vertical="center"/>
    </xf>
    <xf numFmtId="0" fontId="3" fillId="2" borderId="1" xfId="1" applyFont="1" applyFill="1" applyBorder="1" applyAlignment="1">
      <alignment horizontal="center" vertical="center"/>
    </xf>
    <xf numFmtId="0" fontId="2" fillId="0" borderId="1" xfId="2" applyBorder="1" applyAlignment="1">
      <alignment horizontal="center" vertical="center"/>
    </xf>
    <xf numFmtId="0" fontId="3" fillId="0" borderId="1" xfId="2" applyFont="1" applyBorder="1" applyAlignment="1">
      <alignment horizontal="center" vertical="center"/>
    </xf>
    <xf numFmtId="0" fontId="10" fillId="0" borderId="1" xfId="0" applyFont="1" applyBorder="1" applyAlignment="1">
      <alignment horizontal="left" vertical="center"/>
    </xf>
    <xf numFmtId="0" fontId="20" fillId="0" borderId="1" xfId="0" applyFont="1" applyBorder="1" applyAlignment="1">
      <alignment horizontal="center" vertical="center" readingOrder="1"/>
    </xf>
    <xf numFmtId="0" fontId="3" fillId="0" borderId="1" xfId="2" applyFont="1" applyBorder="1" applyAlignment="1">
      <alignment vertical="center"/>
    </xf>
    <xf numFmtId="0" fontId="10" fillId="0" borderId="0" xfId="2" applyFont="1"/>
    <xf numFmtId="2" fontId="3" fillId="0" borderId="0" xfId="2" applyNumberFormat="1" applyFont="1" applyAlignment="1">
      <alignment horizontal="left" vertical="center"/>
    </xf>
    <xf numFmtId="0" fontId="10" fillId="2" borderId="0" xfId="2" applyFont="1" applyFill="1"/>
    <xf numFmtId="0" fontId="10" fillId="4" borderId="0" xfId="2" applyFont="1" applyFill="1"/>
    <xf numFmtId="0" fontId="11" fillId="0" borderId="1" xfId="4" applyBorder="1" applyAlignment="1">
      <alignment horizontal="center" vertical="center"/>
    </xf>
    <xf numFmtId="0" fontId="10" fillId="0" borderId="1" xfId="0" applyFont="1" applyBorder="1" applyAlignment="1">
      <alignment horizontal="center" vertical="center" wrapText="1"/>
    </xf>
    <xf numFmtId="166" fontId="3" fillId="0" borderId="0" xfId="2" applyNumberFormat="1" applyFont="1"/>
    <xf numFmtId="2" fontId="3" fillId="0" borderId="0" xfId="2" applyNumberFormat="1" applyFont="1"/>
    <xf numFmtId="0" fontId="3" fillId="7" borderId="1" xfId="2" applyFont="1" applyFill="1" applyBorder="1" applyAlignment="1">
      <alignment horizontal="center" vertical="center"/>
    </xf>
    <xf numFmtId="0" fontId="3" fillId="0" borderId="1" xfId="7" applyFont="1" applyBorder="1" applyAlignment="1">
      <alignment horizontal="center" vertical="center"/>
    </xf>
    <xf numFmtId="0" fontId="3" fillId="0" borderId="4" xfId="7" applyFont="1" applyBorder="1" applyAlignment="1">
      <alignment horizontal="center" vertical="center"/>
    </xf>
    <xf numFmtId="1" fontId="3" fillId="4" borderId="1" xfId="1" applyNumberFormat="1" applyFont="1" applyFill="1" applyBorder="1" applyAlignment="1">
      <alignment horizontal="center" vertical="center"/>
    </xf>
    <xf numFmtId="0" fontId="23" fillId="3" borderId="1" xfId="6" applyFont="1" applyFill="1" applyBorder="1" applyAlignment="1">
      <alignment horizontal="center"/>
    </xf>
    <xf numFmtId="0" fontId="5" fillId="3" borderId="1" xfId="2" applyFont="1" applyFill="1" applyBorder="1" applyAlignment="1">
      <alignment horizontal="center"/>
    </xf>
    <xf numFmtId="1" fontId="3" fillId="0" borderId="1" xfId="2" applyNumberFormat="1" applyFont="1" applyBorder="1" applyAlignment="1">
      <alignment horizontal="center"/>
    </xf>
    <xf numFmtId="164" fontId="3" fillId="0" borderId="1" xfId="2" applyNumberFormat="1" applyFont="1" applyBorder="1" applyAlignment="1">
      <alignment horizontal="center"/>
    </xf>
    <xf numFmtId="14" fontId="11" fillId="0" borderId="1" xfId="4" applyNumberFormat="1" applyBorder="1" applyAlignment="1">
      <alignment horizontal="center" vertical="center"/>
    </xf>
    <xf numFmtId="167" fontId="11" fillId="0" borderId="1" xfId="4" applyNumberFormat="1" applyBorder="1" applyAlignment="1">
      <alignment horizontal="center" vertical="center"/>
    </xf>
    <xf numFmtId="0" fontId="11" fillId="0" borderId="1" xfId="4" applyBorder="1" applyAlignment="1">
      <alignment horizontal="left" vertical="center"/>
    </xf>
    <xf numFmtId="0" fontId="11" fillId="0" borderId="1" xfId="4" applyBorder="1" applyAlignment="1">
      <alignment horizontal="center"/>
    </xf>
    <xf numFmtId="164" fontId="2" fillId="8" borderId="1" xfId="5" applyNumberFormat="1" applyFill="1" applyBorder="1" applyAlignment="1">
      <alignment horizontal="center"/>
    </xf>
    <xf numFmtId="164" fontId="3" fillId="2" borderId="1" xfId="1" applyNumberFormat="1" applyFont="1" applyFill="1" applyBorder="1" applyAlignment="1">
      <alignment horizontal="center"/>
    </xf>
    <xf numFmtId="1" fontId="3" fillId="2" borderId="1" xfId="1" applyNumberFormat="1" applyFont="1" applyFill="1" applyBorder="1" applyAlignment="1">
      <alignment horizontal="center"/>
    </xf>
    <xf numFmtId="0" fontId="3" fillId="9" borderId="1" xfId="2" applyFont="1" applyFill="1" applyBorder="1" applyAlignment="1">
      <alignment horizontal="center"/>
    </xf>
    <xf numFmtId="0" fontId="11" fillId="9" borderId="1" xfId="4" applyFill="1" applyBorder="1" applyAlignment="1">
      <alignment horizontal="center" vertical="center"/>
    </xf>
    <xf numFmtId="2" fontId="3" fillId="2" borderId="1" xfId="1" applyNumberFormat="1" applyFont="1" applyFill="1" applyBorder="1" applyAlignment="1">
      <alignment horizontal="center"/>
    </xf>
    <xf numFmtId="0" fontId="3" fillId="3" borderId="1" xfId="1" applyFont="1" applyFill="1" applyBorder="1" applyAlignment="1">
      <alignment horizontal="center"/>
    </xf>
    <xf numFmtId="168" fontId="3" fillId="0" borderId="0" xfId="2" applyNumberFormat="1" applyFont="1"/>
    <xf numFmtId="0" fontId="11" fillId="0" borderId="0" xfId="4" applyAlignment="1">
      <alignment horizontal="center"/>
    </xf>
    <xf numFmtId="0" fontId="11" fillId="0" borderId="0" xfId="4" applyAlignment="1">
      <alignment vertical="center"/>
    </xf>
    <xf numFmtId="0" fontId="11" fillId="0" borderId="0" xfId="4" applyAlignment="1">
      <alignment horizontal="center" vertical="center"/>
    </xf>
    <xf numFmtId="165" fontId="11" fillId="0" borderId="1" xfId="4" applyNumberFormat="1" applyBorder="1" applyAlignment="1">
      <alignment horizontal="center" vertical="center"/>
    </xf>
    <xf numFmtId="164" fontId="11" fillId="0" borderId="1" xfId="4" applyNumberFormat="1" applyBorder="1" applyAlignment="1">
      <alignment horizontal="center" vertical="center"/>
    </xf>
    <xf numFmtId="0" fontId="11" fillId="8" borderId="1" xfId="4" applyFill="1" applyBorder="1" applyAlignment="1">
      <alignment horizontal="center" vertical="center" wrapText="1"/>
    </xf>
    <xf numFmtId="0" fontId="11" fillId="8" borderId="1" xfId="4" applyFill="1" applyBorder="1" applyAlignment="1">
      <alignment horizontal="center" vertical="center"/>
    </xf>
    <xf numFmtId="0" fontId="4" fillId="0" borderId="0" xfId="1" applyFont="1" applyAlignment="1">
      <alignment horizontal="center"/>
    </xf>
    <xf numFmtId="0" fontId="3" fillId="0" borderId="1" xfId="1" applyFont="1" applyBorder="1" applyAlignment="1">
      <alignment horizontal="center" vertical="center"/>
    </xf>
    <xf numFmtId="0" fontId="3" fillId="0" borderId="1" xfId="2" applyFont="1" applyBorder="1" applyAlignment="1">
      <alignment horizontal="center" vertical="center"/>
    </xf>
    <xf numFmtId="0" fontId="10" fillId="0" borderId="1" xfId="0" applyFont="1" applyBorder="1" applyAlignment="1">
      <alignment horizontal="center" vertical="center" wrapText="1"/>
    </xf>
    <xf numFmtId="0" fontId="3" fillId="0" borderId="1" xfId="2" applyFont="1" applyBorder="1" applyAlignment="1">
      <alignment horizontal="center" vertical="center"/>
    </xf>
    <xf numFmtId="0" fontId="3" fillId="9" borderId="1" xfId="1" quotePrefix="1" applyFont="1" applyFill="1" applyBorder="1" applyAlignment="1">
      <alignment horizontal="left"/>
    </xf>
    <xf numFmtId="0" fontId="3" fillId="9" borderId="1" xfId="1" applyFont="1" applyFill="1" applyBorder="1"/>
    <xf numFmtId="0" fontId="0" fillId="0" borderId="0" xfId="0" applyAlignment="1">
      <alignment horizontal="center"/>
    </xf>
    <xf numFmtId="0" fontId="0" fillId="10" borderId="1" xfId="0" applyFill="1" applyBorder="1" applyAlignment="1">
      <alignment horizontal="center"/>
    </xf>
    <xf numFmtId="0" fontId="0" fillId="10" borderId="3" xfId="0" applyFill="1" applyBorder="1" applyAlignment="1">
      <alignment horizontal="center"/>
    </xf>
    <xf numFmtId="164" fontId="0" fillId="0" borderId="1" xfId="0" applyNumberFormat="1" applyBorder="1" applyAlignment="1">
      <alignment horizontal="center"/>
    </xf>
    <xf numFmtId="0" fontId="0" fillId="0" borderId="1" xfId="0" applyBorder="1" applyAlignment="1">
      <alignment horizontal="center"/>
    </xf>
    <xf numFmtId="2" fontId="0" fillId="0" borderId="1" xfId="0" applyNumberFormat="1" applyBorder="1" applyAlignment="1">
      <alignment horizontal="center"/>
    </xf>
    <xf numFmtId="0" fontId="0" fillId="0" borderId="1" xfId="0" applyBorder="1" applyAlignment="1">
      <alignment horizontal="center" vertical="center"/>
    </xf>
    <xf numFmtId="164" fontId="0" fillId="11" borderId="1" xfId="0" applyNumberFormat="1" applyFill="1" applyBorder="1" applyAlignment="1">
      <alignment horizontal="center"/>
    </xf>
    <xf numFmtId="0" fontId="28" fillId="4" borderId="1" xfId="0" applyFont="1" applyFill="1" applyBorder="1" applyAlignment="1">
      <alignment horizontal="center" vertical="center"/>
    </xf>
    <xf numFmtId="164" fontId="29" fillId="0" borderId="1" xfId="0" applyNumberFormat="1" applyFont="1" applyBorder="1" applyAlignment="1">
      <alignment horizontal="center" vertical="center"/>
    </xf>
    <xf numFmtId="2" fontId="29" fillId="0" borderId="1" xfId="0" applyNumberFormat="1" applyFont="1" applyBorder="1" applyAlignment="1">
      <alignment horizontal="center" vertical="center"/>
    </xf>
    <xf numFmtId="0" fontId="0" fillId="0" borderId="1" xfId="0" applyBorder="1"/>
    <xf numFmtId="0" fontId="10" fillId="3" borderId="1" xfId="0" applyFont="1" applyFill="1" applyBorder="1" applyAlignment="1">
      <alignment horizontal="center" vertical="center" wrapText="1"/>
    </xf>
    <xf numFmtId="0" fontId="10" fillId="0" borderId="0" xfId="3" applyFont="1"/>
    <xf numFmtId="0" fontId="3" fillId="0" borderId="1" xfId="1" applyFont="1" applyBorder="1" applyAlignment="1">
      <alignment horizontal="left"/>
    </xf>
    <xf numFmtId="0" fontId="5" fillId="0" borderId="1" xfId="1" applyFont="1" applyBorder="1" applyAlignment="1">
      <alignment horizontal="center" vertical="center"/>
    </xf>
    <xf numFmtId="15" fontId="5" fillId="0" borderId="1" xfId="1" applyNumberFormat="1" applyFont="1" applyBorder="1" applyAlignment="1">
      <alignment horizontal="center" vertical="center"/>
    </xf>
    <xf numFmtId="0" fontId="5" fillId="0" borderId="1" xfId="1" applyFont="1" applyBorder="1" applyAlignment="1">
      <alignment horizontal="center"/>
    </xf>
    <xf numFmtId="1" fontId="3" fillId="0" borderId="1" xfId="1" applyNumberFormat="1" applyFont="1" applyBorder="1" applyAlignment="1">
      <alignment horizontal="center" vertical="center"/>
    </xf>
    <xf numFmtId="0" fontId="5" fillId="0" borderId="2" xfId="1" applyFont="1" applyBorder="1" applyAlignment="1">
      <alignment horizontal="center" vertical="center"/>
    </xf>
    <xf numFmtId="0" fontId="5" fillId="0" borderId="2" xfId="1" applyFont="1" applyBorder="1"/>
    <xf numFmtId="0" fontId="5" fillId="0" borderId="1" xfId="1" applyFont="1" applyBorder="1"/>
    <xf numFmtId="0" fontId="3" fillId="0" borderId="2" xfId="1" applyFont="1" applyBorder="1" applyAlignment="1">
      <alignment horizontal="center"/>
    </xf>
    <xf numFmtId="164" fontId="3" fillId="0" borderId="1" xfId="1" applyNumberFormat="1" applyFont="1" applyBorder="1" applyAlignment="1">
      <alignment horizontal="center"/>
    </xf>
    <xf numFmtId="0" fontId="30" fillId="0" borderId="1" xfId="1" applyFont="1" applyBorder="1" applyAlignment="1">
      <alignment horizontal="center" vertical="center"/>
    </xf>
    <xf numFmtId="0" fontId="16" fillId="0" borderId="0" xfId="1" applyFont="1" applyAlignment="1">
      <alignment horizontal="center" vertical="center" wrapText="1"/>
    </xf>
    <xf numFmtId="0" fontId="3" fillId="0" borderId="0" xfId="1" applyFont="1" applyAlignment="1">
      <alignment vertical="center" wrapText="1"/>
    </xf>
    <xf numFmtId="0" fontId="12" fillId="0" borderId="0" xfId="1" applyFont="1"/>
    <xf numFmtId="0" fontId="21" fillId="0" borderId="0" xfId="3" applyFont="1"/>
    <xf numFmtId="0" fontId="5" fillId="0" borderId="0" xfId="2" applyFont="1" applyAlignment="1">
      <alignment horizontal="left"/>
    </xf>
    <xf numFmtId="0" fontId="3" fillId="0" borderId="0" xfId="2" applyFont="1" applyAlignment="1">
      <alignment horizontal="left"/>
    </xf>
    <xf numFmtId="0" fontId="32" fillId="0" borderId="0" xfId="2" applyFont="1" applyAlignment="1">
      <alignment horizontal="left"/>
    </xf>
    <xf numFmtId="0" fontId="22" fillId="0" borderId="0" xfId="1" applyFont="1"/>
    <xf numFmtId="0" fontId="33" fillId="0" borderId="0" xfId="1" applyFont="1"/>
    <xf numFmtId="0" fontId="3" fillId="0" borderId="0" xfId="2" applyFont="1" applyAlignment="1">
      <alignment vertical="top"/>
    </xf>
    <xf numFmtId="0" fontId="10" fillId="0" borderId="1" xfId="3" applyFont="1" applyBorder="1" applyAlignment="1">
      <alignment horizontal="center"/>
    </xf>
    <xf numFmtId="0" fontId="1" fillId="0" borderId="0" xfId="4" applyFont="1"/>
    <xf numFmtId="0" fontId="36" fillId="0" borderId="0" xfId="4" applyFont="1"/>
    <xf numFmtId="0" fontId="1" fillId="0" borderId="16" xfId="4" applyFont="1" applyBorder="1"/>
    <xf numFmtId="0" fontId="36" fillId="0" borderId="16" xfId="4" applyFont="1" applyBorder="1"/>
    <xf numFmtId="0" fontId="37" fillId="0" borderId="0" xfId="4" applyFont="1"/>
    <xf numFmtId="0" fontId="38" fillId="0" borderId="0" xfId="4" applyFont="1"/>
    <xf numFmtId="0" fontId="41" fillId="0" borderId="0" xfId="4" applyFont="1"/>
    <xf numFmtId="0" fontId="42" fillId="0" borderId="0" xfId="4" applyFont="1"/>
    <xf numFmtId="0" fontId="27" fillId="0" borderId="0" xfId="4" applyFont="1"/>
    <xf numFmtId="0" fontId="1" fillId="0" borderId="0" xfId="4" applyFont="1" applyAlignment="1">
      <alignment horizontal="center"/>
    </xf>
    <xf numFmtId="0" fontId="38" fillId="0" borderId="0" xfId="4" applyFont="1" applyAlignment="1">
      <alignment vertical="top"/>
    </xf>
    <xf numFmtId="0" fontId="37" fillId="0" borderId="0" xfId="4" applyFont="1" applyAlignment="1">
      <alignment vertical="top"/>
    </xf>
    <xf numFmtId="0" fontId="41" fillId="0" borderId="0" xfId="4" applyFont="1" applyAlignment="1">
      <alignment vertical="top"/>
    </xf>
    <xf numFmtId="0" fontId="22" fillId="0" borderId="0" xfId="4" applyFont="1"/>
    <xf numFmtId="0" fontId="18" fillId="0" borderId="0" xfId="3" applyFont="1"/>
    <xf numFmtId="1" fontId="1" fillId="0" borderId="0" xfId="4" applyNumberFormat="1" applyFont="1" applyAlignment="1">
      <alignment horizontal="center"/>
    </xf>
    <xf numFmtId="0" fontId="0" fillId="0" borderId="0" xfId="4" applyFont="1"/>
    <xf numFmtId="0" fontId="43" fillId="0" borderId="0" xfId="4" applyFont="1"/>
    <xf numFmtId="0" fontId="44" fillId="0" borderId="0" xfId="4" applyFont="1"/>
    <xf numFmtId="0" fontId="37" fillId="0" borderId="0" xfId="4" applyFont="1" applyAlignment="1">
      <alignment horizontal="center"/>
    </xf>
    <xf numFmtId="0" fontId="38" fillId="0" borderId="0" xfId="4" applyFont="1" applyAlignment="1">
      <alignment horizontal="center"/>
    </xf>
    <xf numFmtId="0" fontId="46" fillId="0" borderId="0" xfId="6" applyFont="1"/>
    <xf numFmtId="0" fontId="36" fillId="0" borderId="16" xfId="0" applyFont="1" applyBorder="1"/>
    <xf numFmtId="0" fontId="1" fillId="0" borderId="16" xfId="0" applyFont="1" applyBorder="1"/>
    <xf numFmtId="0" fontId="36" fillId="0" borderId="0" xfId="0" applyFont="1"/>
    <xf numFmtId="0" fontId="1" fillId="0" borderId="0" xfId="0" applyFont="1"/>
    <xf numFmtId="0" fontId="1" fillId="0" borderId="0" xfId="4" applyFont="1" applyAlignment="1">
      <alignment vertical="center"/>
    </xf>
    <xf numFmtId="0" fontId="37" fillId="0" borderId="0" xfId="4" applyFont="1" applyAlignment="1">
      <alignment vertical="center"/>
    </xf>
    <xf numFmtId="0" fontId="37" fillId="0" borderId="0" xfId="4" applyFont="1" applyAlignment="1">
      <alignment horizontal="center" vertical="center"/>
    </xf>
    <xf numFmtId="0" fontId="37" fillId="0" borderId="0" xfId="4" applyFont="1" applyAlignment="1">
      <alignment horizontal="left" vertical="center" wrapText="1"/>
    </xf>
    <xf numFmtId="164" fontId="1" fillId="0" borderId="0" xfId="4" applyNumberFormat="1" applyFont="1"/>
    <xf numFmtId="0" fontId="40" fillId="0" borderId="0" xfId="4" applyFont="1"/>
    <xf numFmtId="0" fontId="36" fillId="0" borderId="0" xfId="4" applyFont="1" applyAlignment="1">
      <alignment horizontal="center"/>
    </xf>
    <xf numFmtId="0" fontId="1" fillId="0" borderId="0" xfId="4" applyFont="1" applyAlignment="1">
      <alignment horizontal="left"/>
    </xf>
    <xf numFmtId="164" fontId="19" fillId="0" borderId="0" xfId="4" applyNumberFormat="1" applyFont="1" applyAlignment="1">
      <alignment horizontal="center"/>
    </xf>
    <xf numFmtId="0" fontId="1" fillId="0" borderId="0" xfId="4" applyFont="1" applyAlignment="1">
      <alignment horizontal="right"/>
    </xf>
    <xf numFmtId="164" fontId="1" fillId="0" borderId="0" xfId="4" applyNumberFormat="1" applyFont="1" applyAlignment="1">
      <alignment horizontal="right"/>
    </xf>
    <xf numFmtId="0" fontId="1" fillId="0" borderId="17" xfId="4" applyFont="1" applyBorder="1"/>
    <xf numFmtId="0" fontId="38" fillId="0" borderId="17" xfId="4" applyFont="1" applyBorder="1" applyAlignment="1">
      <alignment vertical="top"/>
    </xf>
    <xf numFmtId="0" fontId="37" fillId="0" borderId="17" xfId="4" applyFont="1" applyBorder="1"/>
    <xf numFmtId="169" fontId="1" fillId="0" borderId="0" xfId="4" applyNumberFormat="1" applyFont="1"/>
    <xf numFmtId="0" fontId="29" fillId="0" borderId="1" xfId="0" applyFont="1" applyBorder="1" applyAlignment="1">
      <alignment horizontal="center" vertical="center"/>
    </xf>
    <xf numFmtId="0" fontId="3" fillId="2" borderId="2" xfId="1" quotePrefix="1" applyFont="1" applyFill="1" applyBorder="1" applyAlignment="1">
      <alignment horizontal="left"/>
    </xf>
    <xf numFmtId="0" fontId="3" fillId="2" borderId="3" xfId="1" quotePrefix="1" applyFont="1" applyFill="1" applyBorder="1" applyAlignment="1">
      <alignment horizontal="left"/>
    </xf>
    <xf numFmtId="2" fontId="10" fillId="0" borderId="1" xfId="3" applyNumberFormat="1" applyFont="1" applyBorder="1" applyAlignment="1">
      <alignment horizontal="center"/>
    </xf>
    <xf numFmtId="0" fontId="21" fillId="0" borderId="1" xfId="3" applyFont="1" applyBorder="1" applyAlignment="1">
      <alignment horizontal="center"/>
    </xf>
    <xf numFmtId="2" fontId="21" fillId="0" borderId="1" xfId="3" applyNumberFormat="1" applyFont="1" applyBorder="1" applyAlignment="1">
      <alignment horizontal="center"/>
    </xf>
    <xf numFmtId="0" fontId="1" fillId="0" borderId="0" xfId="4" applyFont="1" applyBorder="1" applyAlignment="1">
      <alignment wrapText="1"/>
    </xf>
    <xf numFmtId="2" fontId="1" fillId="0" borderId="0" xfId="4" applyNumberFormat="1" applyFont="1" applyBorder="1" applyAlignment="1"/>
    <xf numFmtId="0" fontId="37" fillId="0" borderId="0" xfId="4" applyFont="1" applyBorder="1" applyAlignment="1">
      <alignment horizontal="center"/>
    </xf>
    <xf numFmtId="0" fontId="37" fillId="0" borderId="0" xfId="4" applyFont="1" applyBorder="1" applyAlignment="1">
      <alignment horizontal="left"/>
    </xf>
    <xf numFmtId="165" fontId="37" fillId="0" borderId="0" xfId="4" applyNumberFormat="1" applyFont="1" applyBorder="1" applyAlignment="1">
      <alignment horizontal="center"/>
    </xf>
    <xf numFmtId="0" fontId="37" fillId="0" borderId="0" xfId="4" applyFont="1" applyBorder="1"/>
    <xf numFmtId="0" fontId="1" fillId="0" borderId="0" xfId="4" applyFont="1" applyBorder="1" applyAlignment="1">
      <alignment horizontal="left" vertical="top"/>
    </xf>
    <xf numFmtId="2" fontId="1" fillId="0" borderId="0" xfId="4" applyNumberFormat="1" applyFont="1" applyBorder="1" applyAlignment="1">
      <alignment horizontal="center"/>
    </xf>
    <xf numFmtId="0" fontId="1" fillId="0" borderId="0" xfId="4" applyFont="1" applyBorder="1"/>
    <xf numFmtId="0" fontId="1" fillId="0" borderId="1" xfId="4" applyFont="1" applyBorder="1" applyAlignment="1">
      <alignment horizontal="center"/>
    </xf>
    <xf numFmtId="0" fontId="43" fillId="0" borderId="0" xfId="4" applyFont="1" applyAlignment="1">
      <alignment horizontal="left" vertical="center" wrapText="1"/>
    </xf>
    <xf numFmtId="0" fontId="1" fillId="0" borderId="0" xfId="4" applyFont="1"/>
    <xf numFmtId="0" fontId="37" fillId="0" borderId="0" xfId="4" applyFont="1"/>
    <xf numFmtId="0" fontId="38" fillId="0" borderId="0" xfId="4" applyFont="1" applyAlignment="1">
      <alignment vertical="center"/>
    </xf>
    <xf numFmtId="0" fontId="49" fillId="0" borderId="0" xfId="3" applyFont="1" applyAlignment="1">
      <alignment vertical="center"/>
    </xf>
    <xf numFmtId="0" fontId="38" fillId="0" borderId="0" xfId="4" applyFont="1" applyAlignment="1">
      <alignment vertical="top"/>
    </xf>
    <xf numFmtId="0" fontId="50" fillId="0" borderId="0" xfId="3" applyFont="1" applyAlignment="1">
      <alignment horizontal="left" vertical="center"/>
    </xf>
    <xf numFmtId="0" fontId="37" fillId="0" borderId="0" xfId="4" applyFont="1" applyAlignment="1">
      <alignment horizontal="center" vertical="center"/>
    </xf>
    <xf numFmtId="0" fontId="10" fillId="0" borderId="2" xfId="0" applyFont="1" applyBorder="1" applyAlignment="1">
      <alignment horizontal="left" vertical="center"/>
    </xf>
    <xf numFmtId="0" fontId="10" fillId="0" borderId="7" xfId="0" applyFont="1" applyBorder="1" applyAlignment="1">
      <alignment horizontal="left" vertical="center"/>
    </xf>
    <xf numFmtId="0" fontId="10" fillId="0" borderId="3" xfId="0" applyFont="1" applyBorder="1" applyAlignment="1">
      <alignment horizontal="left" vertical="center"/>
    </xf>
    <xf numFmtId="0" fontId="10" fillId="0" borderId="1" xfId="0" applyFont="1" applyBorder="1" applyAlignment="1">
      <alignment horizontal="center" vertical="center" wrapText="1"/>
    </xf>
    <xf numFmtId="0" fontId="3" fillId="0" borderId="4" xfId="2" applyFont="1" applyBorder="1" applyAlignment="1">
      <alignment horizontal="center" vertical="center"/>
    </xf>
    <xf numFmtId="0" fontId="3" fillId="0" borderId="6" xfId="2" applyFont="1" applyBorder="1" applyAlignment="1">
      <alignment horizontal="center" vertical="center"/>
    </xf>
    <xf numFmtId="0" fontId="3" fillId="0" borderId="2" xfId="2" applyFont="1" applyBorder="1" applyAlignment="1">
      <alignment horizontal="center" vertical="center"/>
    </xf>
    <xf numFmtId="0" fontId="3" fillId="0" borderId="3" xfId="2" applyFont="1" applyBorder="1" applyAlignment="1">
      <alignment horizontal="center" vertical="center"/>
    </xf>
    <xf numFmtId="0" fontId="0" fillId="0" borderId="1" xfId="0" applyBorder="1" applyAlignment="1">
      <alignment horizontal="center"/>
    </xf>
    <xf numFmtId="0" fontId="3" fillId="0" borderId="2" xfId="1" applyFont="1" applyBorder="1" applyAlignment="1">
      <alignment horizontal="left" vertical="center" wrapText="1"/>
    </xf>
    <xf numFmtId="0" fontId="3" fillId="0" borderId="7" xfId="1" applyFont="1" applyBorder="1" applyAlignment="1">
      <alignment horizontal="left" vertical="center" wrapText="1"/>
    </xf>
    <xf numFmtId="0" fontId="3" fillId="0" borderId="3" xfId="1" applyFont="1" applyBorder="1" applyAlignment="1">
      <alignment horizontal="left" vertical="center" wrapText="1"/>
    </xf>
    <xf numFmtId="0" fontId="3" fillId="0" borderId="2" xfId="1" applyFont="1" applyBorder="1"/>
    <xf numFmtId="0" fontId="3" fillId="0" borderId="7" xfId="1" applyFont="1" applyBorder="1"/>
    <xf numFmtId="0" fontId="3" fillId="0" borderId="3" xfId="1" applyFont="1" applyBorder="1"/>
    <xf numFmtId="0" fontId="10" fillId="0" borderId="2"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3" xfId="0" applyFont="1" applyBorder="1" applyAlignment="1">
      <alignment horizontal="center" vertical="center" wrapText="1"/>
    </xf>
    <xf numFmtId="0" fontId="2" fillId="0" borderId="0" xfId="6"/>
    <xf numFmtId="0" fontId="3" fillId="0" borderId="2" xfId="1" applyFont="1" applyBorder="1" applyAlignment="1">
      <alignment horizontal="left" vertical="center"/>
    </xf>
    <xf numFmtId="0" fontId="3" fillId="0" borderId="7" xfId="1" applyFont="1" applyBorder="1" applyAlignment="1">
      <alignment horizontal="left" vertical="center"/>
    </xf>
    <xf numFmtId="0" fontId="3" fillId="0" borderId="3" xfId="1" applyFont="1" applyBorder="1" applyAlignment="1">
      <alignment horizontal="left" vertical="center"/>
    </xf>
    <xf numFmtId="0" fontId="3" fillId="0" borderId="8" xfId="1" applyFont="1" applyBorder="1" applyAlignment="1">
      <alignment horizontal="left" vertical="center"/>
    </xf>
    <xf numFmtId="0" fontId="3" fillId="0" borderId="9" xfId="1" applyFont="1" applyBorder="1" applyAlignment="1">
      <alignment horizontal="left" vertical="center"/>
    </xf>
    <xf numFmtId="0" fontId="3" fillId="0" borderId="10" xfId="1" applyFont="1" applyBorder="1" applyAlignment="1">
      <alignment horizontal="left" vertical="center"/>
    </xf>
    <xf numFmtId="0" fontId="3" fillId="0" borderId="11" xfId="1" applyFont="1" applyBorder="1" applyAlignment="1">
      <alignment horizontal="left" vertical="center"/>
    </xf>
    <xf numFmtId="0" fontId="3" fillId="0" borderId="0" xfId="1" applyFont="1" applyAlignment="1">
      <alignment horizontal="left" vertical="center"/>
    </xf>
    <xf numFmtId="0" fontId="3" fillId="0" borderId="12" xfId="1" applyFont="1" applyBorder="1" applyAlignment="1">
      <alignment horizontal="left" vertical="center"/>
    </xf>
    <xf numFmtId="0" fontId="3" fillId="0" borderId="13" xfId="1" applyFont="1" applyBorder="1" applyAlignment="1">
      <alignment horizontal="left" vertical="center"/>
    </xf>
    <xf numFmtId="0" fontId="3" fillId="0" borderId="14" xfId="1" applyFont="1" applyBorder="1" applyAlignment="1">
      <alignment horizontal="left" vertical="center"/>
    </xf>
    <xf numFmtId="0" fontId="3" fillId="0" borderId="15" xfId="1" applyFont="1" applyBorder="1" applyAlignment="1">
      <alignment horizontal="left" vertical="center"/>
    </xf>
    <xf numFmtId="0" fontId="3" fillId="0" borderId="2" xfId="1" applyFont="1" applyBorder="1" applyAlignment="1">
      <alignment horizontal="left"/>
    </xf>
    <xf numFmtId="0" fontId="3" fillId="0" borderId="7" xfId="1" applyFont="1" applyBorder="1" applyAlignment="1">
      <alignment horizontal="left"/>
    </xf>
    <xf numFmtId="0" fontId="3" fillId="0" borderId="3" xfId="1" applyFont="1" applyBorder="1" applyAlignment="1">
      <alignment horizontal="left"/>
    </xf>
    <xf numFmtId="0" fontId="5" fillId="3" borderId="1" xfId="1" applyFont="1" applyFill="1" applyBorder="1" applyAlignment="1">
      <alignment horizontal="center" vertical="center"/>
    </xf>
    <xf numFmtId="0" fontId="5" fillId="3" borderId="8" xfId="1" applyFont="1" applyFill="1" applyBorder="1" applyAlignment="1">
      <alignment horizontal="center" vertical="center"/>
    </xf>
    <xf numFmtId="0" fontId="5" fillId="3" borderId="9" xfId="1" applyFont="1" applyFill="1" applyBorder="1" applyAlignment="1">
      <alignment horizontal="center" vertical="center"/>
    </xf>
    <xf numFmtId="0" fontId="5" fillId="3" borderId="10" xfId="1" applyFont="1" applyFill="1" applyBorder="1" applyAlignment="1">
      <alignment horizontal="center" vertical="center"/>
    </xf>
    <xf numFmtId="0" fontId="5" fillId="3" borderId="13" xfId="1" applyFont="1" applyFill="1" applyBorder="1" applyAlignment="1">
      <alignment horizontal="center" vertical="center"/>
    </xf>
    <xf numFmtId="0" fontId="5" fillId="3" borderId="14" xfId="1" applyFont="1" applyFill="1" applyBorder="1" applyAlignment="1">
      <alignment horizontal="center" vertical="center"/>
    </xf>
    <xf numFmtId="0" fontId="5" fillId="3" borderId="15" xfId="1" applyFont="1" applyFill="1" applyBorder="1" applyAlignment="1">
      <alignment horizontal="center" vertical="center"/>
    </xf>
    <xf numFmtId="0" fontId="5" fillId="3" borderId="1" xfId="1" applyFont="1" applyFill="1" applyBorder="1" applyAlignment="1">
      <alignment horizontal="center"/>
    </xf>
    <xf numFmtId="0" fontId="10" fillId="0" borderId="1" xfId="0" applyFont="1" applyBorder="1" applyAlignment="1">
      <alignment horizontal="center" vertical="center"/>
    </xf>
    <xf numFmtId="0" fontId="18" fillId="0" borderId="1" xfId="0" applyFont="1" applyBorder="1" applyAlignment="1">
      <alignment vertical="center" wrapText="1"/>
    </xf>
    <xf numFmtId="0" fontId="17" fillId="2" borderId="4" xfId="2" applyFont="1" applyFill="1" applyBorder="1" applyAlignment="1">
      <alignment horizontal="center" vertical="center"/>
    </xf>
    <xf numFmtId="0" fontId="17" fillId="2" borderId="6" xfId="2" applyFont="1" applyFill="1" applyBorder="1" applyAlignment="1">
      <alignment horizontal="center" vertical="center"/>
    </xf>
    <xf numFmtId="0" fontId="16" fillId="0" borderId="1" xfId="1" applyFont="1" applyBorder="1" applyAlignment="1">
      <alignment horizontal="center" vertical="center"/>
    </xf>
    <xf numFmtId="0" fontId="16" fillId="6" borderId="1" xfId="1" applyFont="1" applyFill="1" applyBorder="1" applyAlignment="1">
      <alignment vertical="center" wrapText="1"/>
    </xf>
    <xf numFmtId="0" fontId="18" fillId="0" borderId="1" xfId="0" applyFont="1" applyBorder="1" applyAlignment="1">
      <alignment vertical="center"/>
    </xf>
    <xf numFmtId="0" fontId="16" fillId="0" borderId="1" xfId="1" applyFont="1" applyBorder="1" applyAlignment="1">
      <alignment horizontal="center" vertical="center" wrapText="1"/>
    </xf>
    <xf numFmtId="0" fontId="16" fillId="5" borderId="1" xfId="2" applyFont="1" applyFill="1" applyBorder="1" applyAlignment="1">
      <alignment vertical="center" wrapText="1"/>
    </xf>
    <xf numFmtId="0" fontId="5" fillId="3" borderId="2" xfId="1" applyFont="1" applyFill="1" applyBorder="1" applyAlignment="1">
      <alignment horizontal="center" vertical="center"/>
    </xf>
    <xf numFmtId="0" fontId="5" fillId="3" borderId="3" xfId="1" applyFont="1" applyFill="1" applyBorder="1" applyAlignment="1">
      <alignment horizontal="center" vertical="center"/>
    </xf>
    <xf numFmtId="0" fontId="5" fillId="3" borderId="2" xfId="1" applyFont="1" applyFill="1" applyBorder="1" applyAlignment="1">
      <alignment horizontal="center"/>
    </xf>
    <xf numFmtId="0" fontId="5" fillId="3" borderId="3" xfId="1" applyFont="1" applyFill="1" applyBorder="1" applyAlignment="1">
      <alignment horizontal="center"/>
    </xf>
    <xf numFmtId="0" fontId="10" fillId="0" borderId="2" xfId="0" applyFont="1" applyBorder="1" applyAlignment="1">
      <alignment horizontal="left"/>
    </xf>
    <xf numFmtId="0" fontId="10" fillId="0" borderId="3" xfId="0" applyFont="1" applyBorder="1" applyAlignment="1">
      <alignment horizontal="left"/>
    </xf>
    <xf numFmtId="0" fontId="3" fillId="2" borderId="1" xfId="1" applyFont="1" applyFill="1" applyBorder="1" applyAlignment="1">
      <alignment horizontal="left"/>
    </xf>
    <xf numFmtId="14" fontId="3" fillId="2" borderId="2" xfId="1" applyNumberFormat="1" applyFont="1" applyFill="1" applyBorder="1" applyAlignment="1">
      <alignment horizontal="left"/>
    </xf>
    <xf numFmtId="0" fontId="3" fillId="2" borderId="3" xfId="1" applyFont="1" applyFill="1" applyBorder="1" applyAlignment="1">
      <alignment horizontal="left"/>
    </xf>
    <xf numFmtId="1" fontId="3" fillId="2" borderId="1" xfId="1" applyNumberFormat="1" applyFont="1" applyFill="1" applyBorder="1" applyAlignment="1">
      <alignment horizontal="left"/>
    </xf>
    <xf numFmtId="0" fontId="3" fillId="2" borderId="2" xfId="1" applyFont="1" applyFill="1" applyBorder="1" applyAlignment="1">
      <alignment horizontal="left"/>
    </xf>
    <xf numFmtId="0" fontId="3" fillId="0" borderId="4" xfId="1" applyFont="1" applyBorder="1" applyAlignment="1">
      <alignment horizontal="left" vertical="center"/>
    </xf>
    <xf numFmtId="0" fontId="3" fillId="0" borderId="5" xfId="1" applyFont="1" applyBorder="1" applyAlignment="1">
      <alignment horizontal="left" vertical="center"/>
    </xf>
    <xf numFmtId="0" fontId="3" fillId="0" borderId="6" xfId="1" applyFont="1" applyBorder="1" applyAlignment="1">
      <alignment horizontal="left" vertical="center"/>
    </xf>
    <xf numFmtId="0" fontId="3" fillId="0" borderId="1" xfId="1" applyFont="1" applyBorder="1" applyAlignment="1">
      <alignment horizontal="center" vertical="center"/>
    </xf>
    <xf numFmtId="0" fontId="5" fillId="3" borderId="7" xfId="1" applyFont="1" applyFill="1" applyBorder="1" applyAlignment="1">
      <alignment horizontal="center" vertical="center"/>
    </xf>
    <xf numFmtId="0" fontId="4" fillId="0" borderId="0" xfId="1" applyFont="1" applyAlignment="1">
      <alignment horizontal="center"/>
    </xf>
    <xf numFmtId="0" fontId="5" fillId="0" borderId="1" xfId="2" applyFont="1" applyBorder="1" applyAlignment="1">
      <alignment horizontal="center"/>
    </xf>
    <xf numFmtId="165" fontId="3" fillId="2" borderId="2" xfId="1" applyNumberFormat="1" applyFont="1" applyFill="1" applyBorder="1" applyAlignment="1">
      <alignment horizontal="center"/>
    </xf>
    <xf numFmtId="165" fontId="3" fillId="2" borderId="3" xfId="1" applyNumberFormat="1" applyFont="1" applyFill="1" applyBorder="1" applyAlignment="1">
      <alignment horizontal="center"/>
    </xf>
    <xf numFmtId="0" fontId="16" fillId="0" borderId="4" xfId="1" applyFont="1" applyBorder="1" applyAlignment="1">
      <alignment horizontal="center" vertical="center" wrapText="1"/>
    </xf>
    <xf numFmtId="0" fontId="16" fillId="0" borderId="6" xfId="1" applyFont="1" applyBorder="1" applyAlignment="1">
      <alignment horizontal="center" vertical="center" wrapText="1"/>
    </xf>
    <xf numFmtId="0" fontId="16" fillId="5" borderId="8" xfId="2" applyFont="1" applyFill="1" applyBorder="1" applyAlignment="1">
      <alignment horizontal="left" vertical="center" wrapText="1"/>
    </xf>
    <xf numFmtId="0" fontId="16" fillId="5" borderId="9" xfId="2" applyFont="1" applyFill="1" applyBorder="1" applyAlignment="1">
      <alignment horizontal="left" vertical="center" wrapText="1"/>
    </xf>
    <xf numFmtId="0" fontId="16" fillId="5" borderId="10" xfId="2" applyFont="1" applyFill="1" applyBorder="1" applyAlignment="1">
      <alignment horizontal="left" vertical="center" wrapText="1"/>
    </xf>
    <xf numFmtId="0" fontId="16" fillId="5" borderId="13" xfId="2" applyFont="1" applyFill="1" applyBorder="1" applyAlignment="1">
      <alignment horizontal="left" vertical="center" wrapText="1"/>
    </xf>
    <xf numFmtId="0" fontId="16" fillId="5" borderId="14" xfId="2" applyFont="1" applyFill="1" applyBorder="1" applyAlignment="1">
      <alignment horizontal="left" vertical="center" wrapText="1"/>
    </xf>
    <xf numFmtId="0" fontId="16" fillId="5" borderId="15" xfId="2" applyFont="1" applyFill="1" applyBorder="1" applyAlignment="1">
      <alignment horizontal="left" vertical="center" wrapText="1"/>
    </xf>
    <xf numFmtId="0" fontId="10" fillId="3" borderId="2"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3" fillId="9" borderId="2" xfId="2" applyFont="1" applyFill="1" applyBorder="1" applyAlignment="1">
      <alignment horizontal="center"/>
    </xf>
    <xf numFmtId="0" fontId="3" fillId="9" borderId="3" xfId="2" applyFont="1" applyFill="1" applyBorder="1" applyAlignment="1">
      <alignment horizontal="center"/>
    </xf>
    <xf numFmtId="0" fontId="11" fillId="9" borderId="4" xfId="4" applyFill="1" applyBorder="1" applyAlignment="1">
      <alignment horizontal="center" vertical="center"/>
    </xf>
    <xf numFmtId="0" fontId="11" fillId="9" borderId="6" xfId="4" applyFill="1" applyBorder="1" applyAlignment="1">
      <alignment horizontal="center" vertical="center"/>
    </xf>
    <xf numFmtId="0" fontId="11" fillId="9" borderId="2" xfId="4" applyFill="1" applyBorder="1" applyAlignment="1">
      <alignment horizontal="center" vertical="center"/>
    </xf>
    <xf numFmtId="0" fontId="11" fillId="9" borderId="3" xfId="4" applyFill="1" applyBorder="1" applyAlignment="1">
      <alignment horizontal="center" vertical="center"/>
    </xf>
    <xf numFmtId="0" fontId="5" fillId="3" borderId="4" xfId="7" applyFont="1" applyFill="1" applyBorder="1" applyAlignment="1">
      <alignment horizontal="center" vertical="center"/>
    </xf>
    <xf numFmtId="0" fontId="5" fillId="3" borderId="6" xfId="7" applyFont="1" applyFill="1" applyBorder="1" applyAlignment="1">
      <alignment horizontal="center" vertical="center"/>
    </xf>
    <xf numFmtId="0" fontId="5" fillId="3" borderId="1" xfId="7" applyFont="1" applyFill="1" applyBorder="1" applyAlignment="1">
      <alignment horizontal="center" vertical="center"/>
    </xf>
    <xf numFmtId="0" fontId="5" fillId="3" borderId="4" xfId="1" applyFont="1" applyFill="1" applyBorder="1" applyAlignment="1">
      <alignment horizontal="center" vertical="center"/>
    </xf>
    <xf numFmtId="0" fontId="5" fillId="3" borderId="6" xfId="1" applyFont="1" applyFill="1" applyBorder="1" applyAlignment="1">
      <alignment horizontal="center" vertical="center"/>
    </xf>
    <xf numFmtId="9" fontId="3" fillId="6" borderId="4" xfId="1" applyNumberFormat="1" applyFont="1" applyFill="1" applyBorder="1" applyAlignment="1">
      <alignment horizontal="center" vertical="center"/>
    </xf>
    <xf numFmtId="9" fontId="3" fillId="6" borderId="5" xfId="1" applyNumberFormat="1" applyFont="1" applyFill="1" applyBorder="1" applyAlignment="1">
      <alignment horizontal="center" vertical="center"/>
    </xf>
    <xf numFmtId="9" fontId="3" fillId="6" borderId="6" xfId="1" applyNumberFormat="1" applyFont="1" applyFill="1" applyBorder="1" applyAlignment="1">
      <alignment horizontal="center" vertical="center"/>
    </xf>
    <xf numFmtId="0" fontId="2" fillId="4" borderId="4" xfId="6" applyFill="1" applyBorder="1" applyAlignment="1">
      <alignment horizontal="center" vertical="center"/>
    </xf>
    <xf numFmtId="0" fontId="2" fillId="4" borderId="5" xfId="6" applyFill="1" applyBorder="1" applyAlignment="1">
      <alignment horizontal="center" vertical="center"/>
    </xf>
    <xf numFmtId="0" fontId="2" fillId="4" borderId="6" xfId="6" applyFill="1" applyBorder="1" applyAlignment="1">
      <alignment horizontal="center" vertical="center"/>
    </xf>
    <xf numFmtId="1" fontId="2" fillId="4" borderId="4" xfId="7" applyNumberFormat="1" applyFill="1" applyBorder="1" applyAlignment="1">
      <alignment horizontal="center" vertical="center"/>
    </xf>
    <xf numFmtId="1" fontId="2" fillId="4" borderId="5" xfId="7" applyNumberFormat="1" applyFill="1" applyBorder="1" applyAlignment="1">
      <alignment horizontal="center" vertical="center"/>
    </xf>
    <xf numFmtId="1" fontId="2" fillId="4" borderId="6" xfId="7" applyNumberFormat="1" applyFill="1" applyBorder="1" applyAlignment="1">
      <alignment horizontal="center" vertical="center"/>
    </xf>
    <xf numFmtId="0" fontId="5" fillId="11" borderId="1" xfId="2" applyFont="1" applyFill="1" applyBorder="1" applyAlignment="1">
      <alignment horizontal="center" vertical="center"/>
    </xf>
    <xf numFmtId="9" fontId="10" fillId="0" borderId="1" xfId="8" applyFont="1" applyBorder="1" applyAlignment="1">
      <alignment horizontal="center" vertical="center"/>
    </xf>
    <xf numFmtId="0" fontId="10" fillId="12" borderId="1" xfId="3" applyFont="1" applyFill="1" applyBorder="1" applyAlignment="1">
      <alignment horizontal="center" vertical="center"/>
    </xf>
    <xf numFmtId="0" fontId="28" fillId="4" borderId="2" xfId="0" applyFont="1" applyFill="1" applyBorder="1" applyAlignment="1">
      <alignment horizontal="center" vertical="center"/>
    </xf>
    <xf numFmtId="0" fontId="28" fillId="4" borderId="7" xfId="0" applyFont="1" applyFill="1" applyBorder="1" applyAlignment="1">
      <alignment horizontal="center" vertical="center"/>
    </xf>
    <xf numFmtId="164" fontId="28" fillId="4" borderId="4" xfId="0" applyNumberFormat="1" applyFont="1" applyFill="1" applyBorder="1" applyAlignment="1">
      <alignment horizontal="center" vertical="center" wrapText="1"/>
    </xf>
    <xf numFmtId="164" fontId="28" fillId="4" borderId="6" xfId="0" applyNumberFormat="1" applyFont="1" applyFill="1" applyBorder="1" applyAlignment="1">
      <alignment horizontal="center" vertical="center" wrapText="1"/>
    </xf>
    <xf numFmtId="164" fontId="28" fillId="0" borderId="4" xfId="0" applyNumberFormat="1" applyFont="1" applyBorder="1" applyAlignment="1">
      <alignment horizontal="center" vertical="center"/>
    </xf>
    <xf numFmtId="164" fontId="28" fillId="0" borderId="6" xfId="0" applyNumberFormat="1" applyFont="1" applyBorder="1" applyAlignment="1">
      <alignment horizontal="center" vertical="center"/>
    </xf>
    <xf numFmtId="0" fontId="28" fillId="0" borderId="1" xfId="0" applyFont="1" applyBorder="1" applyAlignment="1">
      <alignment horizontal="center" vertical="center"/>
    </xf>
    <xf numFmtId="0" fontId="27" fillId="0" borderId="1" xfId="0" applyFont="1" applyBorder="1" applyAlignment="1">
      <alignment horizontal="center" vertical="center"/>
    </xf>
    <xf numFmtId="0" fontId="5" fillId="0" borderId="4" xfId="2" applyFont="1" applyBorder="1" applyAlignment="1">
      <alignment horizontal="center" vertical="center" wrapText="1"/>
    </xf>
    <xf numFmtId="0" fontId="5" fillId="0" borderId="6" xfId="2" applyFont="1" applyBorder="1" applyAlignment="1">
      <alignment horizontal="center" vertical="center" wrapText="1"/>
    </xf>
    <xf numFmtId="164" fontId="0" fillId="0" borderId="1" xfId="0" applyNumberFormat="1" applyBorder="1" applyAlignment="1">
      <alignment horizontal="center"/>
    </xf>
    <xf numFmtId="0" fontId="11" fillId="8" borderId="2" xfId="4" applyFill="1" applyBorder="1" applyAlignment="1">
      <alignment horizontal="center" vertical="center"/>
    </xf>
    <xf numFmtId="0" fontId="11" fillId="8" borderId="3" xfId="4" applyFill="1" applyBorder="1" applyAlignment="1">
      <alignment horizontal="center" vertical="center"/>
    </xf>
    <xf numFmtId="0" fontId="11" fillId="8" borderId="4" xfId="4" applyFill="1" applyBorder="1" applyAlignment="1">
      <alignment horizontal="center" vertical="center"/>
    </xf>
    <xf numFmtId="0" fontId="11" fillId="8" borderId="6" xfId="4" applyFill="1" applyBorder="1" applyAlignment="1">
      <alignment horizontal="center" vertical="center"/>
    </xf>
    <xf numFmtId="0" fontId="10" fillId="0" borderId="1" xfId="3" applyFont="1" applyBorder="1" applyAlignment="1">
      <alignment horizontal="center"/>
    </xf>
    <xf numFmtId="0" fontId="21" fillId="0" borderId="1" xfId="3" applyFont="1" applyBorder="1" applyAlignment="1">
      <alignment horizontal="center"/>
    </xf>
    <xf numFmtId="0" fontId="16" fillId="0" borderId="8" xfId="1" applyFont="1" applyBorder="1" applyAlignment="1">
      <alignment horizontal="left" vertical="center" wrapText="1"/>
    </xf>
    <xf numFmtId="0" fontId="16" fillId="0" borderId="9" xfId="1" applyFont="1" applyBorder="1" applyAlignment="1">
      <alignment horizontal="left" vertical="center" wrapText="1"/>
    </xf>
    <xf numFmtId="0" fontId="16" fillId="0" borderId="10" xfId="1" applyFont="1" applyBorder="1" applyAlignment="1">
      <alignment horizontal="left" vertical="center" wrapText="1"/>
    </xf>
    <xf numFmtId="0" fontId="16" fillId="0" borderId="13" xfId="1" applyFont="1" applyBorder="1" applyAlignment="1">
      <alignment horizontal="left" vertical="center" wrapText="1"/>
    </xf>
    <xf numFmtId="0" fontId="16" fillId="0" borderId="14" xfId="1" applyFont="1" applyBorder="1" applyAlignment="1">
      <alignment horizontal="left" vertical="center" wrapText="1"/>
    </xf>
    <xf numFmtId="0" fontId="16" fillId="0" borderId="15" xfId="1" applyFont="1" applyBorder="1" applyAlignment="1">
      <alignment horizontal="left" vertical="center" wrapText="1"/>
    </xf>
    <xf numFmtId="0" fontId="5" fillId="0" borderId="2" xfId="1" applyFont="1" applyBorder="1" applyAlignment="1">
      <alignment horizontal="center"/>
    </xf>
    <xf numFmtId="0" fontId="5" fillId="0" borderId="3" xfId="1" applyFont="1" applyBorder="1" applyAlignment="1">
      <alignment horizontal="center"/>
    </xf>
    <xf numFmtId="0" fontId="30" fillId="0" borderId="2" xfId="1" applyFont="1" applyBorder="1" applyAlignment="1">
      <alignment horizontal="center" vertical="center"/>
    </xf>
    <xf numFmtId="0" fontId="30" fillId="0" borderId="7" xfId="1" applyFont="1" applyBorder="1" applyAlignment="1">
      <alignment horizontal="center" vertical="center"/>
    </xf>
    <xf numFmtId="0" fontId="30" fillId="0" borderId="3" xfId="1" applyFont="1" applyBorder="1" applyAlignment="1">
      <alignment horizontal="center" vertical="center"/>
    </xf>
    <xf numFmtId="1" fontId="3" fillId="0" borderId="2" xfId="1" applyNumberFormat="1" applyFont="1" applyBorder="1" applyAlignment="1">
      <alignment horizontal="left"/>
    </xf>
    <xf numFmtId="0" fontId="3" fillId="0" borderId="1" xfId="1" applyFont="1" applyBorder="1" applyAlignment="1">
      <alignment horizontal="left" vertical="center" wrapText="1"/>
    </xf>
    <xf numFmtId="165" fontId="3" fillId="0" borderId="4" xfId="1" applyNumberFormat="1" applyFont="1" applyBorder="1" applyAlignment="1">
      <alignment horizontal="center" vertical="center" wrapText="1"/>
    </xf>
    <xf numFmtId="165" fontId="3" fillId="0" borderId="6" xfId="1" applyNumberFormat="1" applyFont="1" applyBorder="1" applyAlignment="1">
      <alignment horizontal="center" vertical="center" wrapText="1"/>
    </xf>
    <xf numFmtId="0" fontId="12" fillId="0" borderId="4" xfId="1" applyFont="1" applyBorder="1" applyAlignment="1">
      <alignment horizontal="center" vertical="center"/>
    </xf>
    <xf numFmtId="0" fontId="12" fillId="0" borderId="6" xfId="1" applyFont="1" applyBorder="1" applyAlignment="1">
      <alignment horizontal="center" vertical="center"/>
    </xf>
    <xf numFmtId="0" fontId="12" fillId="0" borderId="1" xfId="1" applyFont="1" applyBorder="1" applyAlignment="1">
      <alignment horizontal="center" vertical="center"/>
    </xf>
    <xf numFmtId="0" fontId="12" fillId="0" borderId="1" xfId="1" applyFont="1" applyBorder="1" applyAlignment="1">
      <alignment horizontal="center" vertical="center" wrapText="1"/>
    </xf>
    <xf numFmtId="0" fontId="5" fillId="0" borderId="1" xfId="1" applyFont="1" applyBorder="1" applyAlignment="1">
      <alignment horizontal="center" vertical="center"/>
    </xf>
    <xf numFmtId="0" fontId="10" fillId="0" borderId="1" xfId="3" applyFont="1" applyBorder="1" applyAlignment="1">
      <alignment horizontal="center" wrapText="1"/>
    </xf>
    <xf numFmtId="0" fontId="31" fillId="0" borderId="8" xfId="3" applyFont="1" applyBorder="1" applyAlignment="1">
      <alignment horizontal="left" wrapText="1"/>
    </xf>
    <xf numFmtId="0" fontId="31" fillId="0" borderId="9" xfId="3" applyFont="1" applyBorder="1" applyAlignment="1">
      <alignment horizontal="left" wrapText="1"/>
    </xf>
    <xf numFmtId="0" fontId="31" fillId="0" borderId="10" xfId="3" applyFont="1" applyBorder="1" applyAlignment="1">
      <alignment horizontal="left" wrapText="1"/>
    </xf>
    <xf numFmtId="0" fontId="31" fillId="0" borderId="13" xfId="3" applyFont="1" applyBorder="1" applyAlignment="1">
      <alignment horizontal="left" wrapText="1"/>
    </xf>
    <xf numFmtId="0" fontId="31" fillId="0" borderId="14" xfId="3" applyFont="1" applyBorder="1" applyAlignment="1">
      <alignment horizontal="left" wrapText="1"/>
    </xf>
    <xf numFmtId="0" fontId="31" fillId="0" borderId="15" xfId="3" applyFont="1" applyBorder="1" applyAlignment="1">
      <alignment horizontal="left" wrapText="1"/>
    </xf>
    <xf numFmtId="2" fontId="1" fillId="0" borderId="1" xfId="4" applyNumberFormat="1" applyFont="1" applyBorder="1" applyAlignment="1">
      <alignment horizontal="center"/>
    </xf>
    <xf numFmtId="2" fontId="1" fillId="0" borderId="2" xfId="4" applyNumberFormat="1" applyFont="1" applyBorder="1" applyAlignment="1">
      <alignment horizontal="center"/>
    </xf>
    <xf numFmtId="2" fontId="1" fillId="0" borderId="7" xfId="4" applyNumberFormat="1" applyFont="1" applyBorder="1" applyAlignment="1">
      <alignment horizontal="center"/>
    </xf>
    <xf numFmtId="2" fontId="1" fillId="0" borderId="3" xfId="4" applyNumberFormat="1" applyFont="1" applyBorder="1" applyAlignment="1">
      <alignment horizontal="center"/>
    </xf>
    <xf numFmtId="0" fontId="1" fillId="0" borderId="1" xfId="4" applyFont="1" applyBorder="1" applyAlignment="1">
      <alignment horizontal="left" vertical="top"/>
    </xf>
    <xf numFmtId="0" fontId="37" fillId="0" borderId="8" xfId="4" applyFont="1" applyBorder="1" applyAlignment="1">
      <alignment horizontal="center" vertical="center"/>
    </xf>
    <xf numFmtId="0" fontId="37" fillId="0" borderId="13" xfId="4" applyFont="1" applyBorder="1" applyAlignment="1">
      <alignment horizontal="center" vertical="center"/>
    </xf>
    <xf numFmtId="165" fontId="1" fillId="0" borderId="13" xfId="4" applyNumberFormat="1" applyFont="1" applyBorder="1" applyAlignment="1">
      <alignment horizontal="center"/>
    </xf>
    <xf numFmtId="165" fontId="1" fillId="0" borderId="14" xfId="4" applyNumberFormat="1" applyFont="1" applyBorder="1" applyAlignment="1">
      <alignment horizontal="center"/>
    </xf>
    <xf numFmtId="165" fontId="1" fillId="0" borderId="15" xfId="4" applyNumberFormat="1" applyFont="1" applyBorder="1" applyAlignment="1">
      <alignment horizontal="center"/>
    </xf>
    <xf numFmtId="0" fontId="1" fillId="0" borderId="2" xfId="4" applyFont="1" applyBorder="1" applyAlignment="1">
      <alignment horizontal="left"/>
    </xf>
    <xf numFmtId="0" fontId="1" fillId="0" borderId="7" xfId="4" applyFont="1" applyBorder="1" applyAlignment="1">
      <alignment horizontal="left"/>
    </xf>
    <xf numFmtId="0" fontId="1" fillId="0" borderId="3" xfId="4" applyFont="1" applyBorder="1" applyAlignment="1">
      <alignment horizontal="left"/>
    </xf>
    <xf numFmtId="0" fontId="0" fillId="0" borderId="2" xfId="4" applyFont="1" applyBorder="1" applyAlignment="1">
      <alignment horizontal="center" wrapText="1"/>
    </xf>
    <xf numFmtId="0" fontId="0" fillId="0" borderId="7" xfId="4" applyFont="1" applyBorder="1" applyAlignment="1">
      <alignment horizontal="center" wrapText="1"/>
    </xf>
    <xf numFmtId="0" fontId="0" fillId="0" borderId="3" xfId="4" applyFont="1" applyBorder="1" applyAlignment="1">
      <alignment horizontal="center" wrapText="1"/>
    </xf>
    <xf numFmtId="0" fontId="1" fillId="0" borderId="1" xfId="4" applyFont="1" applyBorder="1" applyAlignment="1">
      <alignment horizontal="left" vertical="center" wrapText="1"/>
    </xf>
    <xf numFmtId="0" fontId="37" fillId="0" borderId="8" xfId="4" applyFont="1" applyBorder="1" applyAlignment="1">
      <alignment horizontal="center"/>
    </xf>
    <xf numFmtId="0" fontId="37" fillId="0" borderId="9" xfId="4" applyFont="1" applyBorder="1" applyAlignment="1">
      <alignment horizontal="center"/>
    </xf>
    <xf numFmtId="0" fontId="38" fillId="0" borderId="13" xfId="4" applyFont="1" applyBorder="1" applyAlignment="1">
      <alignment horizontal="center" vertical="top"/>
    </xf>
    <xf numFmtId="0" fontId="38" fillId="0" borderId="14" xfId="4" applyFont="1" applyBorder="1" applyAlignment="1">
      <alignment horizontal="center" vertical="top"/>
    </xf>
    <xf numFmtId="0" fontId="38" fillId="0" borderId="15" xfId="4" applyFont="1" applyBorder="1" applyAlignment="1">
      <alignment horizontal="center" vertical="top"/>
    </xf>
    <xf numFmtId="1" fontId="1" fillId="0" borderId="1" xfId="4" applyNumberFormat="1" applyFont="1" applyBorder="1" applyAlignment="1">
      <alignment horizontal="center" vertical="center"/>
    </xf>
    <xf numFmtId="0" fontId="1" fillId="0" borderId="1" xfId="4" applyFont="1" applyBorder="1" applyAlignment="1">
      <alignment horizontal="center" vertical="center"/>
    </xf>
    <xf numFmtId="0" fontId="1" fillId="0" borderId="13" xfId="4" applyFont="1" applyBorder="1" applyAlignment="1">
      <alignment horizontal="center"/>
    </xf>
    <xf numFmtId="0" fontId="1" fillId="0" borderId="14" xfId="4" applyFont="1" applyBorder="1" applyAlignment="1">
      <alignment horizontal="center"/>
    </xf>
    <xf numFmtId="0" fontId="1" fillId="0" borderId="15" xfId="4" applyFont="1" applyBorder="1" applyAlignment="1">
      <alignment horizontal="center"/>
    </xf>
    <xf numFmtId="0" fontId="1" fillId="0" borderId="2" xfId="4" applyFont="1" applyBorder="1" applyAlignment="1">
      <alignment horizontal="center"/>
    </xf>
    <xf numFmtId="0" fontId="1" fillId="0" borderId="7" xfId="4" applyFont="1" applyBorder="1" applyAlignment="1">
      <alignment horizontal="center"/>
    </xf>
    <xf numFmtId="0" fontId="1" fillId="0" borderId="3" xfId="4" applyFont="1" applyBorder="1" applyAlignment="1">
      <alignment horizontal="center"/>
    </xf>
    <xf numFmtId="0" fontId="39" fillId="0" borderId="0" xfId="4" applyFont="1" applyAlignment="1">
      <alignment horizontal="center"/>
    </xf>
    <xf numFmtId="0" fontId="44" fillId="0" borderId="0" xfId="4" applyFont="1" applyAlignment="1">
      <alignment horizontal="center"/>
    </xf>
    <xf numFmtId="0" fontId="37" fillId="0" borderId="0" xfId="4" applyFont="1" applyAlignment="1">
      <alignment horizontal="center"/>
    </xf>
    <xf numFmtId="169" fontId="1" fillId="0" borderId="0" xfId="4" applyNumberFormat="1" applyFont="1" applyAlignment="1">
      <alignment horizontal="left" vertical="center"/>
    </xf>
    <xf numFmtId="0" fontId="1" fillId="0" borderId="0" xfId="4" applyFont="1" applyAlignment="1">
      <alignment horizontal="left" vertical="center"/>
    </xf>
    <xf numFmtId="0" fontId="37" fillId="0" borderId="10" xfId="4" applyFont="1" applyBorder="1" applyAlignment="1">
      <alignment horizontal="center"/>
    </xf>
    <xf numFmtId="164" fontId="1" fillId="0" borderId="0" xfId="4" applyNumberFormat="1" applyFont="1" applyAlignment="1">
      <alignment horizontal="right"/>
    </xf>
    <xf numFmtId="0" fontId="0" fillId="0" borderId="1" xfId="4" applyFont="1" applyBorder="1" applyAlignment="1">
      <alignment horizontal="center" wrapText="1"/>
    </xf>
    <xf numFmtId="0" fontId="0" fillId="0" borderId="1" xfId="4" applyFont="1" applyBorder="1" applyAlignment="1">
      <alignment horizontal="center" vertical="center" wrapText="1"/>
    </xf>
    <xf numFmtId="0" fontId="38" fillId="0" borderId="0" xfId="4" applyFont="1" applyAlignment="1">
      <alignment horizontal="center"/>
    </xf>
    <xf numFmtId="0" fontId="1" fillId="0" borderId="13" xfId="4" applyFont="1" applyBorder="1" applyAlignment="1">
      <alignment horizontal="left"/>
    </xf>
    <xf numFmtId="0" fontId="1" fillId="0" borderId="14" xfId="4" applyFont="1" applyBorder="1" applyAlignment="1">
      <alignment horizontal="left"/>
    </xf>
    <xf numFmtId="0" fontId="1" fillId="0" borderId="15" xfId="4" applyFont="1" applyBorder="1" applyAlignment="1">
      <alignment horizontal="left"/>
    </xf>
    <xf numFmtId="0" fontId="38" fillId="0" borderId="0" xfId="4" applyFont="1" applyAlignment="1">
      <alignment horizontal="left" vertical="center" wrapText="1"/>
    </xf>
    <xf numFmtId="0" fontId="43" fillId="0" borderId="0" xfId="4" applyFont="1" applyAlignment="1">
      <alignment horizontal="left" vertical="center" wrapText="1"/>
    </xf>
    <xf numFmtId="0" fontId="37" fillId="0" borderId="0" xfId="4" applyFont="1" applyAlignment="1">
      <alignment horizontal="left" wrapText="1"/>
    </xf>
    <xf numFmtId="0" fontId="38" fillId="0" borderId="0" xfId="4" applyFont="1" applyAlignment="1">
      <alignment horizontal="left" wrapText="1"/>
    </xf>
    <xf numFmtId="0" fontId="37" fillId="0" borderId="0" xfId="4" applyFont="1" applyAlignment="1">
      <alignment horizontal="left" vertical="center" wrapText="1"/>
    </xf>
    <xf numFmtId="0" fontId="45" fillId="0" borderId="0" xfId="4" applyFont="1" applyAlignment="1">
      <alignment horizontal="center"/>
    </xf>
    <xf numFmtId="0" fontId="1" fillId="0" borderId="0" xfId="4" applyFont="1" applyAlignment="1">
      <alignment horizontal="center"/>
    </xf>
    <xf numFmtId="0" fontId="40" fillId="0" borderId="0" xfId="4" applyFont="1" applyAlignment="1">
      <alignment horizontal="center"/>
    </xf>
    <xf numFmtId="170" fontId="1" fillId="0" borderId="0" xfId="4" applyNumberFormat="1" applyFont="1" applyAlignment="1">
      <alignment horizontal="left" vertical="center"/>
    </xf>
  </cellXfs>
  <cellStyles count="9">
    <cellStyle name="Normal" xfId="0" builtinId="0"/>
    <cellStyle name="Normal 10" xfId="4" xr:uid="{C497A847-7590-403E-B709-49659729A817}"/>
    <cellStyle name="Normal 2" xfId="2" xr:uid="{7175330C-86F8-4AB0-8C6F-26AB814B2CD0}"/>
    <cellStyle name="Normal 2 2" xfId="5" xr:uid="{29F1F0FA-33F9-45ED-AA96-D39112CA27A6}"/>
    <cellStyle name="Normal 3" xfId="1" xr:uid="{5762593B-0BF3-4C65-9101-F06FBA08431E}"/>
    <cellStyle name="Normal 4 2 2 2" xfId="3" xr:uid="{453A3001-4322-4D85-86E1-BC3BCB5EE0D4}"/>
    <cellStyle name="Normal 5" xfId="6" xr:uid="{83B8EE35-6C42-4E4A-813C-07A6C45C48B9}"/>
    <cellStyle name="Normal 7" xfId="7" xr:uid="{A3DFF3D9-08D1-4023-BC27-EA8E302DD9DA}"/>
    <cellStyle name="Percent" xfId="8" builtinId="5"/>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4</xdr:col>
      <xdr:colOff>161925</xdr:colOff>
      <xdr:row>41</xdr:row>
      <xdr:rowOff>114300</xdr:rowOff>
    </xdr:from>
    <xdr:to>
      <xdr:col>4</xdr:col>
      <xdr:colOff>361950</xdr:colOff>
      <xdr:row>41</xdr:row>
      <xdr:rowOff>257175</xdr:rowOff>
    </xdr:to>
    <xdr:sp macro="" textlink="">
      <xdr:nvSpPr>
        <xdr:cNvPr id="2" name="Rectangle 1">
          <a:extLst>
            <a:ext uri="{FF2B5EF4-FFF2-40B4-BE49-F238E27FC236}">
              <a16:creationId xmlns:a16="http://schemas.microsoft.com/office/drawing/2014/main" id="{2DA2FE99-D29D-44A6-94D5-3B00D96B52F6}"/>
            </a:ext>
          </a:extLst>
        </xdr:cNvPr>
        <xdr:cNvSpPr/>
      </xdr:nvSpPr>
      <xdr:spPr>
        <a:xfrm>
          <a:off x="3876675" y="10201275"/>
          <a:ext cx="200025" cy="142875"/>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5</xdr:col>
      <xdr:colOff>85725</xdr:colOff>
      <xdr:row>41</xdr:row>
      <xdr:rowOff>95250</xdr:rowOff>
    </xdr:from>
    <xdr:to>
      <xdr:col>5</xdr:col>
      <xdr:colOff>342900</xdr:colOff>
      <xdr:row>41</xdr:row>
      <xdr:rowOff>276225</xdr:rowOff>
    </xdr:to>
    <xdr:sp macro="" textlink="">
      <xdr:nvSpPr>
        <xdr:cNvPr id="3" name="Rectangle 2">
          <a:extLst>
            <a:ext uri="{FF2B5EF4-FFF2-40B4-BE49-F238E27FC236}">
              <a16:creationId xmlns:a16="http://schemas.microsoft.com/office/drawing/2014/main" id="{E05D664F-1F6E-4417-8B2B-6293352C65C9}"/>
            </a:ext>
          </a:extLst>
        </xdr:cNvPr>
        <xdr:cNvSpPr/>
      </xdr:nvSpPr>
      <xdr:spPr>
        <a:xfrm>
          <a:off x="4924425" y="10182225"/>
          <a:ext cx="257175" cy="180975"/>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6</xdr:col>
      <xdr:colOff>76200</xdr:colOff>
      <xdr:row>41</xdr:row>
      <xdr:rowOff>123825</xdr:rowOff>
    </xdr:from>
    <xdr:to>
      <xdr:col>6</xdr:col>
      <xdr:colOff>276225</xdr:colOff>
      <xdr:row>41</xdr:row>
      <xdr:rowOff>266700</xdr:rowOff>
    </xdr:to>
    <xdr:sp macro="" textlink="">
      <xdr:nvSpPr>
        <xdr:cNvPr id="4" name="Rectangle 3">
          <a:extLst>
            <a:ext uri="{FF2B5EF4-FFF2-40B4-BE49-F238E27FC236}">
              <a16:creationId xmlns:a16="http://schemas.microsoft.com/office/drawing/2014/main" id="{5A11B444-0224-49FB-A28D-C5FDB06A05AB}"/>
            </a:ext>
          </a:extLst>
        </xdr:cNvPr>
        <xdr:cNvSpPr/>
      </xdr:nvSpPr>
      <xdr:spPr>
        <a:xfrm>
          <a:off x="6038850" y="10210800"/>
          <a:ext cx="200025" cy="142875"/>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5</xdr:col>
      <xdr:colOff>76200</xdr:colOff>
      <xdr:row>42</xdr:row>
      <xdr:rowOff>95250</xdr:rowOff>
    </xdr:from>
    <xdr:to>
      <xdr:col>5</xdr:col>
      <xdr:colOff>314325</xdr:colOff>
      <xdr:row>42</xdr:row>
      <xdr:rowOff>266700</xdr:rowOff>
    </xdr:to>
    <xdr:sp macro="" textlink="">
      <xdr:nvSpPr>
        <xdr:cNvPr id="5" name="Rectangle 4">
          <a:extLst>
            <a:ext uri="{FF2B5EF4-FFF2-40B4-BE49-F238E27FC236}">
              <a16:creationId xmlns:a16="http://schemas.microsoft.com/office/drawing/2014/main" id="{488F0B06-0016-4DED-B887-1B291C0F8B68}"/>
            </a:ext>
          </a:extLst>
        </xdr:cNvPr>
        <xdr:cNvSpPr/>
      </xdr:nvSpPr>
      <xdr:spPr>
        <a:xfrm>
          <a:off x="4914900" y="10534650"/>
          <a:ext cx="238125" cy="17145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6</xdr:col>
      <xdr:colOff>66675</xdr:colOff>
      <xdr:row>42</xdr:row>
      <xdr:rowOff>28575</xdr:rowOff>
    </xdr:from>
    <xdr:to>
      <xdr:col>6</xdr:col>
      <xdr:colOff>266700</xdr:colOff>
      <xdr:row>42</xdr:row>
      <xdr:rowOff>171450</xdr:rowOff>
    </xdr:to>
    <xdr:sp macro="" textlink="">
      <xdr:nvSpPr>
        <xdr:cNvPr id="6" name="Rectangle 5">
          <a:extLst>
            <a:ext uri="{FF2B5EF4-FFF2-40B4-BE49-F238E27FC236}">
              <a16:creationId xmlns:a16="http://schemas.microsoft.com/office/drawing/2014/main" id="{6A37041B-088D-4A0E-9CDD-F1B71224782A}"/>
            </a:ext>
          </a:extLst>
        </xdr:cNvPr>
        <xdr:cNvSpPr/>
      </xdr:nvSpPr>
      <xdr:spPr>
        <a:xfrm>
          <a:off x="6029325" y="10467975"/>
          <a:ext cx="200025" cy="142875"/>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5</xdr:col>
      <xdr:colOff>76200</xdr:colOff>
      <xdr:row>43</xdr:row>
      <xdr:rowOff>95250</xdr:rowOff>
    </xdr:from>
    <xdr:to>
      <xdr:col>5</xdr:col>
      <xdr:colOff>295275</xdr:colOff>
      <xdr:row>43</xdr:row>
      <xdr:rowOff>257175</xdr:rowOff>
    </xdr:to>
    <xdr:sp macro="" textlink="">
      <xdr:nvSpPr>
        <xdr:cNvPr id="7" name="Rectangle 6">
          <a:extLst>
            <a:ext uri="{FF2B5EF4-FFF2-40B4-BE49-F238E27FC236}">
              <a16:creationId xmlns:a16="http://schemas.microsoft.com/office/drawing/2014/main" id="{AC5DA194-E0A5-4F91-B4D6-D59698999095}"/>
            </a:ext>
          </a:extLst>
        </xdr:cNvPr>
        <xdr:cNvSpPr/>
      </xdr:nvSpPr>
      <xdr:spPr>
        <a:xfrm>
          <a:off x="4914900" y="10848975"/>
          <a:ext cx="219075" cy="161925"/>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6</xdr:col>
      <xdr:colOff>66675</xdr:colOff>
      <xdr:row>43</xdr:row>
      <xdr:rowOff>19050</xdr:rowOff>
    </xdr:from>
    <xdr:to>
      <xdr:col>6</xdr:col>
      <xdr:colOff>266700</xdr:colOff>
      <xdr:row>43</xdr:row>
      <xdr:rowOff>161925</xdr:rowOff>
    </xdr:to>
    <xdr:sp macro="" textlink="">
      <xdr:nvSpPr>
        <xdr:cNvPr id="8" name="Rectangle 7">
          <a:extLst>
            <a:ext uri="{FF2B5EF4-FFF2-40B4-BE49-F238E27FC236}">
              <a16:creationId xmlns:a16="http://schemas.microsoft.com/office/drawing/2014/main" id="{C834FC3B-0F0B-4BE7-9B33-5F4DFAB42229}"/>
            </a:ext>
          </a:extLst>
        </xdr:cNvPr>
        <xdr:cNvSpPr/>
      </xdr:nvSpPr>
      <xdr:spPr>
        <a:xfrm>
          <a:off x="6029325" y="10772775"/>
          <a:ext cx="200025" cy="142875"/>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4</xdr:col>
      <xdr:colOff>114301</xdr:colOff>
      <xdr:row>42</xdr:row>
      <xdr:rowOff>76200</xdr:rowOff>
    </xdr:from>
    <xdr:to>
      <xdr:col>4</xdr:col>
      <xdr:colOff>409575</xdr:colOff>
      <xdr:row>42</xdr:row>
      <xdr:rowOff>247650</xdr:rowOff>
    </xdr:to>
    <xdr:sp macro="" textlink="">
      <xdr:nvSpPr>
        <xdr:cNvPr id="9" name="Rectangle 8">
          <a:extLst>
            <a:ext uri="{FF2B5EF4-FFF2-40B4-BE49-F238E27FC236}">
              <a16:creationId xmlns:a16="http://schemas.microsoft.com/office/drawing/2014/main" id="{DE05E334-9638-4358-8836-25651C3A2431}"/>
            </a:ext>
          </a:extLst>
        </xdr:cNvPr>
        <xdr:cNvSpPr/>
      </xdr:nvSpPr>
      <xdr:spPr>
        <a:xfrm>
          <a:off x="3829051" y="10515600"/>
          <a:ext cx="295274" cy="17145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a:t>
          </a:r>
          <a:endParaRPr lang="en-US">
            <a:effectLst/>
          </a:endParaRPr>
        </a:p>
        <a:p>
          <a:endParaRPr lang="en-US"/>
        </a:p>
      </xdr:txBody>
    </xdr:sp>
    <xdr:clientData/>
  </xdr:twoCellAnchor>
  <xdr:twoCellAnchor>
    <xdr:from>
      <xdr:col>4</xdr:col>
      <xdr:colOff>85725</xdr:colOff>
      <xdr:row>43</xdr:row>
      <xdr:rowOff>57151</xdr:rowOff>
    </xdr:from>
    <xdr:to>
      <xdr:col>4</xdr:col>
      <xdr:colOff>371475</xdr:colOff>
      <xdr:row>43</xdr:row>
      <xdr:rowOff>247651</xdr:rowOff>
    </xdr:to>
    <xdr:sp macro="" textlink="">
      <xdr:nvSpPr>
        <xdr:cNvPr id="10" name="Rectangle 9">
          <a:extLst>
            <a:ext uri="{FF2B5EF4-FFF2-40B4-BE49-F238E27FC236}">
              <a16:creationId xmlns:a16="http://schemas.microsoft.com/office/drawing/2014/main" id="{D75188FF-EC81-4B2F-86B2-E92C777A70AA}"/>
            </a:ext>
          </a:extLst>
        </xdr:cNvPr>
        <xdr:cNvSpPr/>
      </xdr:nvSpPr>
      <xdr:spPr>
        <a:xfrm>
          <a:off x="3800475" y="10810876"/>
          <a:ext cx="285750" cy="19050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a:t>
          </a:r>
          <a:endParaRPr lang="en-US">
            <a:effectLst/>
          </a:endParaRPr>
        </a:p>
        <a:p>
          <a:endParaRPr lang="en-US"/>
        </a:p>
      </xdr:txBody>
    </xdr:sp>
    <xdr:clientData/>
  </xdr:twoCellAnchor>
  <xdr:twoCellAnchor>
    <xdr:from>
      <xdr:col>4</xdr:col>
      <xdr:colOff>371475</xdr:colOff>
      <xdr:row>77</xdr:row>
      <xdr:rowOff>76200</xdr:rowOff>
    </xdr:from>
    <xdr:to>
      <xdr:col>4</xdr:col>
      <xdr:colOff>666749</xdr:colOff>
      <xdr:row>77</xdr:row>
      <xdr:rowOff>247650</xdr:rowOff>
    </xdr:to>
    <xdr:sp macro="" textlink="">
      <xdr:nvSpPr>
        <xdr:cNvPr id="11" name="Rectangle 10">
          <a:extLst>
            <a:ext uri="{FF2B5EF4-FFF2-40B4-BE49-F238E27FC236}">
              <a16:creationId xmlns:a16="http://schemas.microsoft.com/office/drawing/2014/main" id="{2819CF15-8A90-42A5-B2F5-D1DF40F069F7}"/>
            </a:ext>
          </a:extLst>
        </xdr:cNvPr>
        <xdr:cNvSpPr/>
      </xdr:nvSpPr>
      <xdr:spPr>
        <a:xfrm>
          <a:off x="4086225" y="22631400"/>
          <a:ext cx="295274" cy="17145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a:effectLst/>
          </a:endParaRPr>
        </a:p>
        <a:p>
          <a:endParaRPr lang="en-US"/>
        </a:p>
      </xdr:txBody>
    </xdr:sp>
    <xdr:clientData/>
  </xdr:twoCellAnchor>
  <xdr:twoCellAnchor>
    <xdr:from>
      <xdr:col>4</xdr:col>
      <xdr:colOff>381000</xdr:colOff>
      <xdr:row>78</xdr:row>
      <xdr:rowOff>95250</xdr:rowOff>
    </xdr:from>
    <xdr:to>
      <xdr:col>4</xdr:col>
      <xdr:colOff>676274</xdr:colOff>
      <xdr:row>78</xdr:row>
      <xdr:rowOff>266700</xdr:rowOff>
    </xdr:to>
    <xdr:sp macro="" textlink="">
      <xdr:nvSpPr>
        <xdr:cNvPr id="12" name="Rectangle 11">
          <a:extLst>
            <a:ext uri="{FF2B5EF4-FFF2-40B4-BE49-F238E27FC236}">
              <a16:creationId xmlns:a16="http://schemas.microsoft.com/office/drawing/2014/main" id="{003AAD94-1A96-423F-A0F5-72FC0D88189A}"/>
            </a:ext>
          </a:extLst>
        </xdr:cNvPr>
        <xdr:cNvSpPr/>
      </xdr:nvSpPr>
      <xdr:spPr>
        <a:xfrm>
          <a:off x="4095750" y="22983825"/>
          <a:ext cx="295274" cy="17145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a:effectLst/>
          </a:endParaRPr>
        </a:p>
        <a:p>
          <a:endParaRPr lang="en-US"/>
        </a:p>
      </xdr:txBody>
    </xdr:sp>
    <xdr:clientData/>
  </xdr:twoCellAnchor>
  <xdr:twoCellAnchor editAs="oneCell">
    <xdr:from>
      <xdr:col>5</xdr:col>
      <xdr:colOff>85725</xdr:colOff>
      <xdr:row>41</xdr:row>
      <xdr:rowOff>47625</xdr:rowOff>
    </xdr:from>
    <xdr:to>
      <xdr:col>5</xdr:col>
      <xdr:colOff>384455</xdr:colOff>
      <xdr:row>42</xdr:row>
      <xdr:rowOff>30509</xdr:rowOff>
    </xdr:to>
    <xdr:pic>
      <xdr:nvPicPr>
        <xdr:cNvPr id="13" name="Picture 12">
          <a:extLst>
            <a:ext uri="{FF2B5EF4-FFF2-40B4-BE49-F238E27FC236}">
              <a16:creationId xmlns:a16="http://schemas.microsoft.com/office/drawing/2014/main" id="{4D8E62A5-225C-4498-9602-B6ECF8D0F1A1}"/>
            </a:ext>
          </a:extLst>
        </xdr:cNvPr>
        <xdr:cNvPicPr>
          <a:picLocks noChangeAspect="1"/>
        </xdr:cNvPicPr>
      </xdr:nvPicPr>
      <xdr:blipFill>
        <a:blip xmlns:r="http://schemas.openxmlformats.org/officeDocument/2006/relationships" r:embed="rId1"/>
        <a:stretch>
          <a:fillRect/>
        </a:stretch>
      </xdr:blipFill>
      <xdr:spPr>
        <a:xfrm>
          <a:off x="4924425" y="9020175"/>
          <a:ext cx="298730" cy="335309"/>
        </a:xfrm>
        <a:prstGeom prst="rect">
          <a:avLst/>
        </a:prstGeom>
      </xdr:spPr>
    </xdr:pic>
    <xdr:clientData/>
  </xdr:twoCellAnchor>
  <xdr:twoCellAnchor editAs="oneCell">
    <xdr:from>
      <xdr:col>4</xdr:col>
      <xdr:colOff>390525</xdr:colOff>
      <xdr:row>77</xdr:row>
      <xdr:rowOff>19050</xdr:rowOff>
    </xdr:from>
    <xdr:to>
      <xdr:col>4</xdr:col>
      <xdr:colOff>689255</xdr:colOff>
      <xdr:row>78</xdr:row>
      <xdr:rowOff>20984</xdr:rowOff>
    </xdr:to>
    <xdr:pic>
      <xdr:nvPicPr>
        <xdr:cNvPr id="15" name="Picture 14">
          <a:extLst>
            <a:ext uri="{FF2B5EF4-FFF2-40B4-BE49-F238E27FC236}">
              <a16:creationId xmlns:a16="http://schemas.microsoft.com/office/drawing/2014/main" id="{FD5B4176-E4BF-456E-9383-6BB84AFD69DA}"/>
            </a:ext>
          </a:extLst>
        </xdr:cNvPr>
        <xdr:cNvPicPr>
          <a:picLocks noChangeAspect="1"/>
        </xdr:cNvPicPr>
      </xdr:nvPicPr>
      <xdr:blipFill>
        <a:blip xmlns:r="http://schemas.openxmlformats.org/officeDocument/2006/relationships" r:embed="rId1"/>
        <a:stretch>
          <a:fillRect/>
        </a:stretch>
      </xdr:blipFill>
      <xdr:spPr>
        <a:xfrm>
          <a:off x="4105275" y="22574250"/>
          <a:ext cx="298730" cy="3353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24493</xdr:rowOff>
    </xdr:from>
    <xdr:ext cx="1251212" cy="813707"/>
    <xdr:pic>
      <xdr:nvPicPr>
        <xdr:cNvPr id="2" name="Picture 1">
          <a:extLst>
            <a:ext uri="{FF2B5EF4-FFF2-40B4-BE49-F238E27FC236}">
              <a16:creationId xmlns:a16="http://schemas.microsoft.com/office/drawing/2014/main" id="{A06C8ED4-4762-4636-B33F-C447393ABD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4493"/>
          <a:ext cx="1251212" cy="8137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87765</xdr:colOff>
      <xdr:row>0</xdr:row>
      <xdr:rowOff>0</xdr:rowOff>
    </xdr:from>
    <xdr:to>
      <xdr:col>17</xdr:col>
      <xdr:colOff>268741</xdr:colOff>
      <xdr:row>6</xdr:row>
      <xdr:rowOff>180975</xdr:rowOff>
    </xdr:to>
    <xdr:sp macro="" textlink="">
      <xdr:nvSpPr>
        <xdr:cNvPr id="3" name="Rectangle 11">
          <a:extLst>
            <a:ext uri="{FF2B5EF4-FFF2-40B4-BE49-F238E27FC236}">
              <a16:creationId xmlns:a16="http://schemas.microsoft.com/office/drawing/2014/main" id="{660E6A62-622B-4592-A963-1C9022B0A6CA}"/>
            </a:ext>
          </a:extLst>
        </xdr:cNvPr>
        <xdr:cNvSpPr>
          <a:spLocks noChangeArrowheads="1"/>
        </xdr:cNvSpPr>
      </xdr:nvSpPr>
      <xdr:spPr bwMode="auto">
        <a:xfrm>
          <a:off x="2526165" y="0"/>
          <a:ext cx="8105776" cy="1323975"/>
        </a:xfrm>
        <a:prstGeom prst="rect">
          <a:avLst/>
        </a:prstGeom>
        <a:noFill/>
        <a:ln>
          <a:noFill/>
        </a:ln>
      </xdr:spPr>
      <xdr:txBody>
        <a:bodyPr vertOverflow="clip" wrap="square" lIns="91440" tIns="45720" rIns="91440" bIns="45720" anchor="t" upright="1"/>
        <a:lstStyle/>
        <a:p>
          <a:pPr algn="ctr" rtl="0">
            <a:lnSpc>
              <a:spcPts val="2500"/>
            </a:lnSpc>
            <a:defRPr sz="1000"/>
          </a:pPr>
          <a:r>
            <a:rPr lang="en-ID" sz="2000" b="1" i="0" u="none" strike="noStrike" baseline="0">
              <a:solidFill>
                <a:schemeClr val="tx2">
                  <a:lumMod val="75000"/>
                </a:schemeClr>
              </a:solidFill>
              <a:latin typeface="Aharoni" panose="02010803020104030203" pitchFamily="2" charset="-79"/>
              <a:cs typeface="Aharoni" panose="02010803020104030203" pitchFamily="2" charset="-79"/>
            </a:rPr>
            <a:t>PT.PRESISI KALIBRASI MEDIKA</a:t>
          </a:r>
        </a:p>
        <a:p>
          <a:pPr algn="ctr" rtl="0">
            <a:lnSpc>
              <a:spcPts val="1300"/>
            </a:lnSpc>
            <a:defRPr sz="1000"/>
          </a:pPr>
          <a:r>
            <a:rPr lang="en-ID" sz="1100" b="0" i="0" u="none" strike="noStrike" baseline="0">
              <a:solidFill>
                <a:schemeClr val="tx2">
                  <a:lumMod val="75000"/>
                </a:schemeClr>
              </a:solidFill>
              <a:latin typeface="Aharoni" panose="02010803020104030203" pitchFamily="2" charset="-79"/>
              <a:cs typeface="Aharoni" panose="02010803020104030203" pitchFamily="2" charset="-79"/>
            </a:rPr>
            <a:t>CALIBRATION &amp; TESTING OF MEDICAL EQUIPMENT</a:t>
          </a:r>
        </a:p>
        <a:p>
          <a:pPr algn="ctr" rtl="0">
            <a:lnSpc>
              <a:spcPts val="1300"/>
            </a:lnSpc>
            <a:defRPr sz="1000"/>
          </a:pPr>
          <a:r>
            <a:rPr lang="en-ID" sz="900">
              <a:latin typeface="+mj-lt"/>
            </a:rPr>
            <a:t>Gedung Graha Bumi Indah - Lantai 3, Jl. Inspeksi Kalimalang Kavling Agraria Blok E No. 10, Kel. Duren Sawit, Kec. Duren Sawit, Kota Adm. Jakarta Timur, Provinsi DKI Jakarta,</a:t>
          </a:r>
          <a:endParaRPr lang="en-ID" sz="900" b="0" i="0" u="none" strike="noStrike" baseline="0">
            <a:solidFill>
              <a:schemeClr val="tx2">
                <a:lumMod val="75000"/>
              </a:schemeClr>
            </a:solidFill>
            <a:latin typeface="+mj-lt"/>
            <a:cs typeface="Aharoni" panose="02010803020104030203" pitchFamily="2" charset="-79"/>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229621</xdr:colOff>
      <xdr:row>0</xdr:row>
      <xdr:rowOff>73217</xdr:rowOff>
    </xdr:from>
    <xdr:ext cx="1428750" cy="929167"/>
    <xdr:pic>
      <xdr:nvPicPr>
        <xdr:cNvPr id="2" name="Picture 1">
          <a:extLst>
            <a:ext uri="{FF2B5EF4-FFF2-40B4-BE49-F238E27FC236}">
              <a16:creationId xmlns:a16="http://schemas.microsoft.com/office/drawing/2014/main" id="{09F16999-E3B8-4B9D-8F6F-17BD875491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621" y="73217"/>
          <a:ext cx="1428750" cy="9291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107309</xdr:colOff>
      <xdr:row>0</xdr:row>
      <xdr:rowOff>0</xdr:rowOff>
    </xdr:from>
    <xdr:to>
      <xdr:col>16</xdr:col>
      <xdr:colOff>359257</xdr:colOff>
      <xdr:row>5</xdr:row>
      <xdr:rowOff>190775</xdr:rowOff>
    </xdr:to>
    <xdr:sp macro="" textlink="">
      <xdr:nvSpPr>
        <xdr:cNvPr id="3" name="Rectangle 11">
          <a:extLst>
            <a:ext uri="{FF2B5EF4-FFF2-40B4-BE49-F238E27FC236}">
              <a16:creationId xmlns:a16="http://schemas.microsoft.com/office/drawing/2014/main" id="{36790A79-24D9-4A62-8660-F4091EFFBB1D}"/>
            </a:ext>
          </a:extLst>
        </xdr:cNvPr>
        <xdr:cNvSpPr>
          <a:spLocks noChangeArrowheads="1"/>
        </xdr:cNvSpPr>
      </xdr:nvSpPr>
      <xdr:spPr bwMode="auto">
        <a:xfrm>
          <a:off x="1757175" y="0"/>
          <a:ext cx="3500653" cy="1126266"/>
        </a:xfrm>
        <a:prstGeom prst="rect">
          <a:avLst/>
        </a:prstGeom>
        <a:noFill/>
        <a:ln>
          <a:noFill/>
        </a:ln>
      </xdr:spPr>
      <xdr:txBody>
        <a:bodyPr vertOverflow="clip" wrap="square" lIns="91440" tIns="45720" rIns="91440" bIns="45720" anchor="t" upright="1"/>
        <a:lstStyle/>
        <a:p>
          <a:pPr algn="ctr" rtl="0">
            <a:lnSpc>
              <a:spcPts val="2500"/>
            </a:lnSpc>
            <a:defRPr sz="1000"/>
          </a:pPr>
          <a:r>
            <a:rPr lang="en-ID" sz="1600" b="1" i="0" u="none" strike="noStrike" baseline="0">
              <a:solidFill>
                <a:schemeClr val="tx2">
                  <a:lumMod val="75000"/>
                </a:schemeClr>
              </a:solidFill>
              <a:latin typeface="Aharoni" panose="02010803020104030203" pitchFamily="2" charset="-79"/>
              <a:cs typeface="Aharoni" panose="02010803020104030203" pitchFamily="2" charset="-79"/>
            </a:rPr>
            <a:t>PT.PRESISI KALIBRASI MEDIKA</a:t>
          </a:r>
        </a:p>
        <a:p>
          <a:pPr algn="ctr" rtl="0">
            <a:lnSpc>
              <a:spcPts val="1300"/>
            </a:lnSpc>
            <a:defRPr sz="1000"/>
          </a:pPr>
          <a:r>
            <a:rPr lang="en-ID" sz="900" b="0" i="0" u="none" strike="noStrike" baseline="0">
              <a:solidFill>
                <a:schemeClr val="tx2">
                  <a:lumMod val="75000"/>
                </a:schemeClr>
              </a:solidFill>
              <a:latin typeface="Aharoni" panose="02010803020104030203" pitchFamily="2" charset="-79"/>
              <a:cs typeface="Aharoni" panose="02010803020104030203" pitchFamily="2" charset="-79"/>
            </a:rPr>
            <a:t>CALIBRATION &amp; TESTING OF MEDICAL EQUIPMENT</a:t>
          </a:r>
        </a:p>
        <a:p>
          <a:pPr algn="ctr" rtl="0">
            <a:lnSpc>
              <a:spcPts val="1300"/>
            </a:lnSpc>
            <a:defRPr sz="1000"/>
          </a:pPr>
          <a:r>
            <a:rPr lang="en-ID" sz="1000">
              <a:latin typeface="+mj-lt"/>
            </a:rPr>
            <a:t>Gedung Graha Bumi Indah - Lantai 3, Jl. Inspeksi Kalimalang Kavling Agraria Blok E No. 10, Kel. Duren Sawit, Kec. Duren Sawit, Kota Adm. Jakarta Timur, Provinsi DKI Jakarta</a:t>
          </a:r>
          <a:endParaRPr lang="en-ID" sz="1000" b="0" i="0" u="none" strike="noStrike" baseline="0">
            <a:solidFill>
              <a:schemeClr val="tx2">
                <a:lumMod val="75000"/>
              </a:schemeClr>
            </a:solidFill>
            <a:latin typeface="+mj-lt"/>
            <a:cs typeface="Aharoni" panose="02010803020104030203" pitchFamily="2" charset="-79"/>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io%20Safety%20Cabine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Master%20CMC\array%20thermohygromete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Master%20CMC\Array%20ES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udiometer.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uto%20Chemistry%20Analyzer.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utoclav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Data"/>
      <sheetName val="Budget"/>
      <sheetName val="Laporan"/>
      <sheetName val="Laporan Print"/>
      <sheetName val="Cover"/>
    </sheetNames>
    <sheetDataSet>
      <sheetData sheetId="0">
        <row r="6">
          <cell r="D6" t="str">
            <v>Laminar Air Flow</v>
          </cell>
        </row>
        <row r="25">
          <cell r="F25" t="str">
            <v>25 ± 5 °C</v>
          </cell>
        </row>
        <row r="26">
          <cell r="F26" t="str">
            <v>55 % ± 20 %</v>
          </cell>
        </row>
        <row r="27">
          <cell r="D27" t="str">
            <v>L-N</v>
          </cell>
        </row>
        <row r="28">
          <cell r="D28" t="str">
            <v>L-G</v>
          </cell>
        </row>
        <row r="29">
          <cell r="D29" t="str">
            <v>N-G</v>
          </cell>
        </row>
      </sheetData>
      <sheetData sheetId="1">
        <row r="12">
          <cell r="L12">
            <v>1.0042795560503805E-6</v>
          </cell>
        </row>
      </sheetData>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RAY"/>
      <sheetName val="TH-01"/>
      <sheetName val="TH-02"/>
      <sheetName val="TH-03"/>
      <sheetName val="TH-04"/>
    </sheetNames>
    <sheetDataSet>
      <sheetData sheetId="0">
        <row r="6">
          <cell r="D6" t="str">
            <v>TH-01</v>
          </cell>
          <cell r="H6" t="str">
            <v>HTC-1</v>
          </cell>
          <cell r="I6">
            <v>-0.3531747919143875</v>
          </cell>
          <cell r="J6">
            <v>1.0389536266349582</v>
          </cell>
          <cell r="K6">
            <v>-19.598181818181821</v>
          </cell>
          <cell r="L6">
            <v>1.3814545454545455</v>
          </cell>
          <cell r="M6">
            <v>0.5</v>
          </cell>
          <cell r="N6">
            <v>2.7</v>
          </cell>
          <cell r="O6">
            <v>45799</v>
          </cell>
        </row>
        <row r="7">
          <cell r="D7" t="str">
            <v>TH-02</v>
          </cell>
          <cell r="H7" t="str">
            <v>HTC-1</v>
          </cell>
          <cell r="I7">
            <v>-3.6218787158141197E-2</v>
          </cell>
          <cell r="J7">
            <v>1.0230439952437573</v>
          </cell>
          <cell r="K7">
            <v>-20.981818181818163</v>
          </cell>
          <cell r="L7">
            <v>1.3290909090909087</v>
          </cell>
          <cell r="M7">
            <v>0.5</v>
          </cell>
          <cell r="N7">
            <v>3.1</v>
          </cell>
          <cell r="O7">
            <v>45799</v>
          </cell>
        </row>
        <row r="8">
          <cell r="D8" t="str">
            <v>TH-03</v>
          </cell>
          <cell r="H8" t="str">
            <v>HTC-1</v>
          </cell>
          <cell r="I8">
            <v>-0.40318668252080059</v>
          </cell>
          <cell r="J8">
            <v>1.0430321046373363</v>
          </cell>
          <cell r="K8">
            <v>-19.666363636363634</v>
          </cell>
          <cell r="L8">
            <v>1.3078181818181818</v>
          </cell>
          <cell r="M8">
            <v>0.5</v>
          </cell>
          <cell r="N8">
            <v>2.7</v>
          </cell>
          <cell r="O8">
            <v>45799</v>
          </cell>
        </row>
        <row r="9">
          <cell r="D9" t="str">
            <v>TH-04</v>
          </cell>
          <cell r="H9" t="str">
            <v>HTC-1</v>
          </cell>
          <cell r="I9">
            <v>0.19985731272295126</v>
          </cell>
          <cell r="J9">
            <v>0.99894173602853731</v>
          </cell>
          <cell r="K9">
            <v>-20.049999999999997</v>
          </cell>
          <cell r="L9">
            <v>1.3190909090909091</v>
          </cell>
          <cell r="M9">
            <v>0.6</v>
          </cell>
          <cell r="N9">
            <v>2.9</v>
          </cell>
          <cell r="O9">
            <v>45799</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RAY"/>
      <sheetName val="Regresi"/>
    </sheetNames>
    <sheetDataSet>
      <sheetData sheetId="0">
        <row r="5">
          <cell r="C5" t="str">
            <v>No. Seri</v>
          </cell>
          <cell r="D5" t="str">
            <v>No</v>
          </cell>
          <cell r="E5" t="str">
            <v>Merk</v>
          </cell>
          <cell r="F5" t="str">
            <v>Type</v>
          </cell>
          <cell r="G5" t="str">
            <v>Tanggal Kalibrasi</v>
          </cell>
          <cell r="H5" t="str">
            <v>Tertelusur</v>
          </cell>
          <cell r="I5" t="str">
            <v>Tegangan</v>
          </cell>
          <cell r="K5" t="str">
            <v>Arus DC (µA)</v>
          </cell>
          <cell r="M5" t="str">
            <v>Arus AC (µA)</v>
          </cell>
          <cell r="O5" t="str">
            <v>Resistansi Pembumian (Ω)</v>
          </cell>
          <cell r="Q5" t="str">
            <v>Resistansi Isolasi (MΩ)</v>
          </cell>
        </row>
        <row r="6">
          <cell r="I6" t="str">
            <v>Intercept</v>
          </cell>
          <cell r="J6" t="str">
            <v>Variabel X</v>
          </cell>
          <cell r="K6" t="str">
            <v>Intercept</v>
          </cell>
          <cell r="L6" t="str">
            <v>Variabel X</v>
          </cell>
          <cell r="M6" t="str">
            <v>Intercept</v>
          </cell>
          <cell r="N6" t="str">
            <v>Variabel X</v>
          </cell>
          <cell r="O6" t="str">
            <v>Intercept</v>
          </cell>
          <cell r="P6" t="str">
            <v>Variabel X</v>
          </cell>
          <cell r="Q6" t="str">
            <v>Intercept</v>
          </cell>
          <cell r="R6" t="str">
            <v>Variabel X</v>
          </cell>
        </row>
        <row r="7">
          <cell r="C7">
            <v>6579027</v>
          </cell>
          <cell r="D7">
            <v>1</v>
          </cell>
          <cell r="E7" t="str">
            <v>Fluke Biomedical</v>
          </cell>
          <cell r="F7" t="str">
            <v>ESA16</v>
          </cell>
          <cell r="G7">
            <v>45819</v>
          </cell>
          <cell r="H7" t="str">
            <v>LK-110-IDN</v>
          </cell>
          <cell r="I7">
            <v>0.18884843505782101</v>
          </cell>
          <cell r="J7">
            <v>0.99976434070331921</v>
          </cell>
          <cell r="K7">
            <v>8.3113755394208511E-3</v>
          </cell>
          <cell r="L7">
            <v>0.99798390215914468</v>
          </cell>
          <cell r="M7">
            <v>1.109276060012121E-2</v>
          </cell>
          <cell r="N7">
            <v>1.0019062227988453</v>
          </cell>
          <cell r="O7">
            <v>-8.4833373595444295E-3</v>
          </cell>
          <cell r="P7">
            <v>1.0005091922739648</v>
          </cell>
          <cell r="Q7">
            <v>0</v>
          </cell>
          <cell r="R7">
            <v>1</v>
          </cell>
        </row>
      </sheetData>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Data"/>
      <sheetName val="skorsing"/>
      <sheetName val="bdgt "/>
      <sheetName val="standar"/>
      <sheetName val="Laporan"/>
      <sheetName val="Cover"/>
      <sheetName val="Laporan Print"/>
    </sheetNames>
    <sheetDataSet>
      <sheetData sheetId="0"/>
      <sheetData sheetId="1">
        <row r="60">
          <cell r="B60">
            <v>1</v>
          </cell>
        </row>
        <row r="61">
          <cell r="B61">
            <v>2</v>
          </cell>
        </row>
        <row r="62">
          <cell r="B62">
            <v>3</v>
          </cell>
        </row>
      </sheetData>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Skorsing"/>
      <sheetName val="ESA"/>
      <sheetName val="Laporan"/>
      <sheetName val="Cover"/>
    </sheetNames>
    <sheetDataSet>
      <sheetData sheetId="0" refreshError="1"/>
      <sheetData sheetId="1" refreshError="1"/>
      <sheetData sheetId="2" refreshError="1"/>
      <sheetData sheetId="3" refreshError="1">
        <row r="5">
          <cell r="F5">
            <v>1</v>
          </cell>
        </row>
        <row r="22">
          <cell r="E22">
            <v>0.5</v>
          </cell>
        </row>
        <row r="23">
          <cell r="E23">
            <v>2.7</v>
          </cell>
        </row>
      </sheetData>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Data"/>
      <sheetName val="Skorsing"/>
      <sheetName val="ESA"/>
      <sheetName val="Std. data logger"/>
      <sheetName val="Budget"/>
      <sheetName val="Laporan"/>
    </sheetNames>
    <sheetDataSet>
      <sheetData sheetId="0" refreshError="1"/>
      <sheetData sheetId="1" refreshError="1"/>
      <sheetData sheetId="2" refreshError="1"/>
      <sheetData sheetId="3" refreshError="1"/>
      <sheetData sheetId="4" refreshError="1"/>
      <sheetData sheetId="5" refreshError="1">
        <row r="5">
          <cell r="F5">
            <v>1</v>
          </cell>
        </row>
        <row r="42">
          <cell r="C42" t="str">
            <v>Resistansi pembumian protektif (Ω)</v>
          </cell>
        </row>
        <row r="44">
          <cell r="C44" t="str">
            <v>Resistansi Isolasi (MΩ)</v>
          </cell>
        </row>
        <row r="46">
          <cell r="C46" t="str">
            <v>Arus bocor peralatan (µA)</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4928F-22D6-401E-B7B4-CEC7E9BBF476}">
  <dimension ref="B1:AD95"/>
  <sheetViews>
    <sheetView tabSelected="1" workbookViewId="0">
      <selection activeCell="G15" sqref="G15"/>
    </sheetView>
  </sheetViews>
  <sheetFormatPr defaultRowHeight="15"/>
  <cols>
    <col min="1" max="1" width="9.140625" style="3"/>
    <col min="2" max="2" width="3.7109375" style="3" customWidth="1"/>
    <col min="3" max="3" width="24.28515625" style="3" customWidth="1"/>
    <col min="4" max="4" width="18.5703125" style="3" customWidth="1"/>
    <col min="5" max="7" width="16.85546875" style="3" customWidth="1"/>
    <col min="8" max="8" width="15.140625" style="3" customWidth="1"/>
    <col min="9" max="9" width="16.85546875" style="3" customWidth="1"/>
    <col min="10" max="10" width="13.85546875" style="3" customWidth="1"/>
    <col min="11" max="11" width="15.5703125" style="3" customWidth="1"/>
    <col min="12" max="12" width="18.28515625" style="3" bestFit="1" customWidth="1"/>
    <col min="13" max="13" width="12.5703125" style="3" customWidth="1"/>
    <col min="14" max="14" width="9.5703125" style="3" customWidth="1"/>
    <col min="15" max="15" width="12.5703125" style="3" customWidth="1"/>
    <col min="16" max="16" width="9.7109375" style="3" customWidth="1"/>
    <col min="17" max="17" width="13.28515625" style="3" customWidth="1"/>
    <col min="18" max="18" width="9.28515625" style="3" customWidth="1"/>
    <col min="19" max="19" width="8.5703125" style="3" customWidth="1"/>
    <col min="20" max="20" width="8.42578125" style="3" customWidth="1"/>
    <col min="21" max="21" width="12.5703125" style="3" customWidth="1"/>
    <col min="22" max="22" width="12.140625" style="3" customWidth="1"/>
    <col min="23" max="23" width="7.7109375" style="3" customWidth="1"/>
    <col min="24" max="24" width="9.5703125" style="3" customWidth="1"/>
    <col min="25" max="26" width="7.7109375" style="3" customWidth="1"/>
    <col min="27" max="27" width="9.85546875" style="3" customWidth="1"/>
    <col min="28" max="28" width="14" style="3" customWidth="1"/>
    <col min="29" max="29" width="19.140625" style="3" customWidth="1"/>
    <col min="30" max="30" width="9.140625" style="3"/>
    <col min="31" max="31" width="9.7109375" style="3" customWidth="1"/>
    <col min="32" max="32" width="5.7109375" style="3" customWidth="1"/>
    <col min="33" max="16384" width="9.140625" style="3"/>
  </cols>
  <sheetData>
    <row r="1" spans="2:30">
      <c r="B1" s="1"/>
      <c r="C1" s="2"/>
      <c r="D1" s="2"/>
      <c r="E1" s="2"/>
      <c r="F1" s="2"/>
      <c r="G1" s="2"/>
      <c r="H1" s="2"/>
      <c r="I1" s="1"/>
    </row>
    <row r="2" spans="2:30">
      <c r="B2" s="1"/>
      <c r="C2" s="266" t="s">
        <v>306</v>
      </c>
      <c r="D2" s="266"/>
      <c r="E2" s="266"/>
      <c r="F2" s="266"/>
      <c r="G2" s="266"/>
      <c r="H2" s="266"/>
      <c r="I2" s="4"/>
    </row>
    <row r="3" spans="2:30">
      <c r="B3" s="1"/>
      <c r="C3" s="5"/>
      <c r="D3" s="5"/>
      <c r="E3" s="5"/>
      <c r="F3" s="5"/>
      <c r="G3" s="6"/>
      <c r="H3" s="5"/>
      <c r="I3" s="5"/>
    </row>
    <row r="4" spans="2:30">
      <c r="B4" s="7" t="s">
        <v>0</v>
      </c>
      <c r="D4" s="8"/>
      <c r="E4" s="8"/>
      <c r="F4" s="8"/>
      <c r="G4" s="8"/>
      <c r="H4" s="8"/>
      <c r="I4" s="8"/>
    </row>
    <row r="5" spans="2:30" ht="15.75">
      <c r="B5" s="1"/>
      <c r="C5" s="2" t="s">
        <v>1</v>
      </c>
      <c r="D5" s="256" t="s">
        <v>309</v>
      </c>
      <c r="E5" s="256"/>
      <c r="F5" s="2" t="s">
        <v>2</v>
      </c>
      <c r="G5" s="1"/>
      <c r="H5" s="9"/>
      <c r="I5" s="10"/>
      <c r="O5" s="11"/>
      <c r="P5" s="12"/>
      <c r="Q5" s="12"/>
      <c r="R5" s="12"/>
      <c r="S5" s="12"/>
      <c r="T5" s="12"/>
      <c r="U5" s="12"/>
      <c r="V5" s="12"/>
      <c r="W5" s="12"/>
      <c r="X5" s="12"/>
      <c r="Y5" s="13"/>
      <c r="Z5" s="13"/>
      <c r="AA5" s="13"/>
      <c r="AB5" s="14"/>
      <c r="AC5" s="14"/>
      <c r="AD5" s="12"/>
    </row>
    <row r="6" spans="2:30" ht="15" customHeight="1">
      <c r="B6" s="1"/>
      <c r="C6" s="2" t="s">
        <v>3</v>
      </c>
      <c r="D6" s="256" t="s">
        <v>147</v>
      </c>
      <c r="E6" s="256"/>
      <c r="F6" s="2" t="s">
        <v>4</v>
      </c>
      <c r="G6" s="1"/>
      <c r="H6" s="260" t="s">
        <v>215</v>
      </c>
      <c r="I6" s="258"/>
      <c r="O6" s="13"/>
      <c r="P6" s="13"/>
      <c r="Q6" s="13"/>
      <c r="R6" s="13"/>
      <c r="S6" s="13"/>
      <c r="T6" s="13"/>
      <c r="U6" s="13"/>
      <c r="V6" s="13"/>
      <c r="W6" s="13"/>
      <c r="X6" s="13"/>
      <c r="Y6" s="13"/>
      <c r="Z6" s="13"/>
      <c r="AA6" s="13"/>
      <c r="AB6" s="14"/>
      <c r="AC6" s="14"/>
      <c r="AD6" s="12"/>
    </row>
    <row r="7" spans="2:30" ht="15" customHeight="1">
      <c r="B7" s="1"/>
      <c r="C7" s="2" t="s">
        <v>5</v>
      </c>
      <c r="D7" s="256" t="s">
        <v>310</v>
      </c>
      <c r="E7" s="256"/>
      <c r="F7" s="2" t="s">
        <v>6</v>
      </c>
      <c r="G7" s="2"/>
      <c r="H7" s="260" t="s">
        <v>312</v>
      </c>
      <c r="I7" s="258"/>
      <c r="O7" s="13"/>
      <c r="P7" s="13"/>
      <c r="Q7" s="13"/>
      <c r="R7" s="13"/>
      <c r="S7" s="13"/>
      <c r="T7" s="13"/>
      <c r="U7" s="13"/>
      <c r="V7" s="13"/>
      <c r="W7" s="13"/>
      <c r="X7" s="13"/>
      <c r="Y7" s="13"/>
      <c r="Z7" s="13"/>
      <c r="AA7" s="13"/>
      <c r="AB7" s="14"/>
      <c r="AC7" s="15"/>
      <c r="AD7" s="12"/>
    </row>
    <row r="8" spans="2:30" ht="15" customHeight="1">
      <c r="B8" s="1"/>
      <c r="C8" s="2" t="s">
        <v>7</v>
      </c>
      <c r="D8" s="256" t="s">
        <v>311</v>
      </c>
      <c r="E8" s="256"/>
      <c r="F8" s="1" t="s">
        <v>8</v>
      </c>
      <c r="G8" s="1"/>
      <c r="H8" s="257">
        <v>46266</v>
      </c>
      <c r="I8" s="258"/>
      <c r="O8" s="13"/>
      <c r="P8" s="13"/>
      <c r="Q8" s="13"/>
      <c r="R8" s="13"/>
      <c r="S8" s="13"/>
      <c r="T8" s="13"/>
      <c r="U8" s="16"/>
      <c r="V8" s="16"/>
      <c r="W8" s="16"/>
      <c r="X8" s="16"/>
      <c r="Y8" s="13"/>
      <c r="Z8" s="16"/>
      <c r="AA8" s="16"/>
      <c r="AB8" s="14"/>
      <c r="AC8" s="15"/>
      <c r="AD8" s="12"/>
    </row>
    <row r="9" spans="2:30">
      <c r="B9" s="1"/>
      <c r="C9" s="2" t="s">
        <v>9</v>
      </c>
      <c r="D9" s="256">
        <v>111</v>
      </c>
      <c r="E9" s="256"/>
      <c r="F9" s="2" t="s">
        <v>10</v>
      </c>
      <c r="G9" s="2"/>
      <c r="H9" s="257">
        <v>46266</v>
      </c>
      <c r="I9" s="258"/>
      <c r="O9" s="17"/>
      <c r="P9" s="16"/>
      <c r="Q9" s="16"/>
      <c r="R9" s="16"/>
      <c r="S9" s="16"/>
      <c r="T9" s="16"/>
      <c r="U9" s="16"/>
      <c r="V9" s="16"/>
      <c r="W9" s="16"/>
      <c r="X9" s="16"/>
      <c r="Y9" s="16"/>
      <c r="Z9" s="16"/>
      <c r="AA9" s="16"/>
      <c r="AB9" s="18"/>
      <c r="AC9" s="18"/>
      <c r="AD9" s="12"/>
    </row>
    <row r="10" spans="2:30">
      <c r="B10" s="1"/>
      <c r="C10" s="2" t="s">
        <v>11</v>
      </c>
      <c r="D10" s="259"/>
      <c r="E10" s="259"/>
      <c r="F10" s="2" t="s">
        <v>12</v>
      </c>
      <c r="G10" s="2"/>
      <c r="H10" s="260" t="s">
        <v>191</v>
      </c>
      <c r="I10" s="258"/>
      <c r="O10" s="17"/>
      <c r="P10" s="16"/>
      <c r="Q10" s="16"/>
      <c r="R10" s="16"/>
      <c r="S10" s="16"/>
      <c r="T10" s="16"/>
      <c r="U10" s="16"/>
      <c r="V10" s="16"/>
      <c r="W10" s="16"/>
      <c r="X10" s="16"/>
      <c r="Y10" s="16"/>
      <c r="Z10" s="16"/>
      <c r="AA10" s="16"/>
      <c r="AB10" s="18"/>
      <c r="AC10" s="18"/>
      <c r="AD10" s="12"/>
    </row>
    <row r="11" spans="2:30">
      <c r="B11" s="1"/>
      <c r="C11" s="2" t="s">
        <v>136</v>
      </c>
      <c r="D11" s="96">
        <v>1</v>
      </c>
      <c r="E11" s="97"/>
      <c r="F11" s="2"/>
      <c r="G11" s="2"/>
      <c r="H11" s="20"/>
      <c r="I11" s="1"/>
      <c r="O11" s="17"/>
      <c r="P11" s="16"/>
      <c r="Q11" s="16"/>
      <c r="R11" s="16"/>
      <c r="S11" s="16"/>
      <c r="T11" s="16"/>
      <c r="U11" s="16"/>
      <c r="V11" s="16"/>
      <c r="W11" s="16"/>
      <c r="X11" s="16"/>
      <c r="Y11" s="16"/>
      <c r="Z11" s="16"/>
      <c r="AA11" s="16"/>
      <c r="AB11" s="18"/>
      <c r="AC11" s="18"/>
      <c r="AD11" s="12"/>
    </row>
    <row r="12" spans="2:30">
      <c r="B12" s="21" t="s">
        <v>13</v>
      </c>
      <c r="D12" s="6"/>
      <c r="E12" s="22"/>
      <c r="F12" s="23"/>
      <c r="G12" s="6"/>
      <c r="H12" s="1"/>
      <c r="I12" s="1"/>
      <c r="O12" s="17"/>
      <c r="P12" s="16"/>
      <c r="Q12" s="16"/>
      <c r="R12" s="16"/>
      <c r="S12" s="16"/>
      <c r="T12" s="16"/>
      <c r="U12" s="16"/>
      <c r="V12" s="16"/>
      <c r="W12" s="16"/>
      <c r="X12" s="16"/>
      <c r="Y12" s="16"/>
      <c r="Z12" s="16"/>
      <c r="AA12" s="16"/>
      <c r="AB12" s="18"/>
      <c r="AC12" s="18"/>
      <c r="AD12" s="12"/>
    </row>
    <row r="13" spans="2:30">
      <c r="B13" s="24" t="s">
        <v>14</v>
      </c>
      <c r="C13" s="252" t="s">
        <v>15</v>
      </c>
      <c r="D13" s="253"/>
      <c r="E13" s="25" t="s">
        <v>16</v>
      </c>
      <c r="F13" s="24" t="s">
        <v>17</v>
      </c>
      <c r="G13" s="26" t="s">
        <v>18</v>
      </c>
      <c r="H13" s="1"/>
      <c r="I13" s="1"/>
      <c r="O13" s="17"/>
      <c r="P13" s="16"/>
      <c r="Q13" s="16"/>
      <c r="R13" s="16"/>
      <c r="S13" s="16"/>
      <c r="T13" s="16"/>
      <c r="U13" s="16"/>
      <c r="V13" s="16"/>
      <c r="W13" s="16"/>
      <c r="X13" s="16"/>
      <c r="Y13" s="16"/>
      <c r="Z13" s="16"/>
      <c r="AA13" s="16"/>
      <c r="AB13" s="18"/>
      <c r="AC13" s="18"/>
      <c r="AD13" s="12"/>
    </row>
    <row r="14" spans="2:30">
      <c r="B14" s="27">
        <v>1</v>
      </c>
      <c r="C14" s="254" t="s">
        <v>104</v>
      </c>
      <c r="D14" s="255"/>
      <c r="E14" s="28" t="s">
        <v>313</v>
      </c>
      <c r="F14" s="28" t="s">
        <v>313</v>
      </c>
      <c r="G14" s="28" t="s">
        <v>313</v>
      </c>
      <c r="H14" s="1"/>
      <c r="I14" s="1"/>
      <c r="O14" s="17"/>
      <c r="P14" s="16"/>
      <c r="Q14" s="16"/>
      <c r="R14" s="16"/>
      <c r="S14" s="16"/>
      <c r="T14" s="16"/>
      <c r="U14" s="16"/>
      <c r="V14" s="16"/>
      <c r="W14" s="16"/>
      <c r="X14" s="16"/>
      <c r="Y14" s="16"/>
      <c r="Z14" s="16"/>
      <c r="AA14" s="16"/>
      <c r="AB14" s="18"/>
      <c r="AC14" s="18"/>
      <c r="AD14" s="12"/>
    </row>
    <row r="15" spans="2:30">
      <c r="B15" s="27">
        <v>2</v>
      </c>
      <c r="C15" s="218" t="s">
        <v>19</v>
      </c>
      <c r="D15" s="220"/>
      <c r="E15" s="29" t="s">
        <v>20</v>
      </c>
      <c r="F15" s="29" t="s">
        <v>21</v>
      </c>
      <c r="G15" s="30">
        <v>6579027</v>
      </c>
      <c r="H15" s="1"/>
      <c r="I15" s="1"/>
      <c r="O15" s="17"/>
      <c r="P15" s="16"/>
      <c r="Q15" s="16"/>
      <c r="R15" s="16"/>
      <c r="S15" s="16"/>
      <c r="T15" s="16"/>
      <c r="U15" s="16"/>
      <c r="V15" s="16"/>
      <c r="W15" s="16"/>
      <c r="X15" s="16"/>
      <c r="Y15" s="16"/>
      <c r="Z15" s="16"/>
      <c r="AA15" s="16"/>
      <c r="AB15" s="18"/>
      <c r="AC15" s="18"/>
      <c r="AD15" s="12"/>
    </row>
    <row r="16" spans="2:30">
      <c r="B16" s="27">
        <v>3</v>
      </c>
      <c r="C16" s="218" t="s">
        <v>22</v>
      </c>
      <c r="D16" s="220"/>
      <c r="E16" s="29" t="s">
        <v>23</v>
      </c>
      <c r="F16" s="29" t="s">
        <v>24</v>
      </c>
      <c r="G16" s="29" t="s">
        <v>25</v>
      </c>
      <c r="H16" s="1"/>
      <c r="I16" s="1"/>
      <c r="O16" s="17"/>
      <c r="P16" s="16"/>
      <c r="Q16" s="16"/>
      <c r="R16" s="16"/>
      <c r="S16" s="16"/>
      <c r="T16" s="16"/>
      <c r="U16" s="16"/>
      <c r="V16" s="16"/>
      <c r="W16" s="16"/>
      <c r="X16" s="16"/>
      <c r="Y16" s="16"/>
      <c r="Z16" s="16"/>
      <c r="AA16" s="16"/>
      <c r="AB16" s="18"/>
      <c r="AC16" s="18"/>
      <c r="AD16" s="12"/>
    </row>
    <row r="17" spans="2:30">
      <c r="H17" s="1"/>
      <c r="I17" s="1"/>
      <c r="O17" s="17"/>
      <c r="P17" s="16"/>
      <c r="Q17" s="16"/>
      <c r="R17" s="16"/>
      <c r="S17" s="16"/>
      <c r="T17" s="16"/>
      <c r="U17" s="16"/>
      <c r="V17" s="16"/>
      <c r="W17" s="16"/>
      <c r="X17" s="16"/>
      <c r="Y17" s="16"/>
      <c r="Z17" s="16"/>
      <c r="AA17" s="16"/>
      <c r="AB17" s="18"/>
      <c r="AC17" s="18"/>
      <c r="AD17" s="12"/>
    </row>
    <row r="18" spans="2:30">
      <c r="B18" s="1"/>
      <c r="C18" s="21"/>
      <c r="D18" s="6"/>
      <c r="F18" s="23"/>
      <c r="G18" s="6"/>
      <c r="H18" s="1"/>
      <c r="I18" s="1"/>
      <c r="O18" s="17"/>
      <c r="P18" s="16"/>
      <c r="Q18" s="16"/>
      <c r="R18" s="16"/>
      <c r="S18" s="16"/>
      <c r="T18" s="16"/>
      <c r="U18" s="16"/>
      <c r="V18" s="16"/>
      <c r="W18" s="16"/>
      <c r="X18" s="16"/>
      <c r="Y18" s="16"/>
      <c r="Z18" s="16"/>
      <c r="AA18" s="16"/>
      <c r="AB18" s="18"/>
      <c r="AC18" s="18"/>
      <c r="AD18" s="12"/>
    </row>
    <row r="19" spans="2:30">
      <c r="B19" s="7" t="s">
        <v>26</v>
      </c>
      <c r="D19" s="1"/>
      <c r="F19" s="1"/>
      <c r="G19" s="32"/>
      <c r="H19" s="1"/>
      <c r="I19" s="2"/>
      <c r="O19" s="17"/>
      <c r="P19" s="16"/>
      <c r="Q19" s="16"/>
      <c r="R19" s="16"/>
      <c r="S19" s="16"/>
      <c r="T19" s="16"/>
      <c r="U19" s="16"/>
      <c r="V19" s="16"/>
      <c r="W19" s="16"/>
      <c r="X19" s="16"/>
      <c r="Y19" s="16"/>
      <c r="Z19" s="16"/>
      <c r="AA19" s="16"/>
      <c r="AB19" s="18"/>
      <c r="AC19" s="18"/>
      <c r="AD19" s="12"/>
    </row>
    <row r="20" spans="2:30">
      <c r="B20" s="1"/>
      <c r="C20" s="33" t="s">
        <v>27</v>
      </c>
      <c r="D20" s="24" t="s">
        <v>28</v>
      </c>
      <c r="E20" s="24" t="s">
        <v>29</v>
      </c>
      <c r="F20" s="26" t="s">
        <v>30</v>
      </c>
      <c r="G20" s="34"/>
      <c r="H20" s="34"/>
      <c r="I20" s="34"/>
      <c r="O20" s="12"/>
      <c r="P20" s="12"/>
      <c r="Q20" s="12"/>
      <c r="R20" s="12"/>
      <c r="S20" s="12"/>
      <c r="T20" s="12"/>
      <c r="U20" s="12"/>
      <c r="V20" s="12"/>
      <c r="W20" s="12"/>
      <c r="X20" s="12"/>
      <c r="Y20" s="12"/>
      <c r="Z20" s="12"/>
      <c r="AA20" s="12"/>
      <c r="AB20" s="12"/>
      <c r="AC20" s="12"/>
      <c r="AD20" s="12"/>
    </row>
    <row r="21" spans="2:30">
      <c r="B21" s="1"/>
      <c r="C21" s="35" t="s">
        <v>31</v>
      </c>
      <c r="D21" s="36">
        <v>23.1</v>
      </c>
      <c r="E21" s="36">
        <v>23.3</v>
      </c>
      <c r="F21" s="37" t="s">
        <v>32</v>
      </c>
      <c r="G21" s="34"/>
      <c r="H21" s="34"/>
      <c r="I21" s="34"/>
    </row>
    <row r="22" spans="2:30">
      <c r="B22" s="1"/>
      <c r="C22" s="35" t="s">
        <v>33</v>
      </c>
      <c r="D22" s="38">
        <v>53</v>
      </c>
      <c r="E22" s="38">
        <v>53</v>
      </c>
      <c r="F22" s="37" t="s">
        <v>34</v>
      </c>
      <c r="G22" s="34"/>
      <c r="H22" s="34"/>
      <c r="I22" s="34"/>
    </row>
    <row r="23" spans="2:30">
      <c r="B23" s="1"/>
      <c r="C23" s="261" t="s">
        <v>35</v>
      </c>
      <c r="D23" s="39" t="s">
        <v>36</v>
      </c>
      <c r="E23" s="40">
        <v>221.1</v>
      </c>
      <c r="F23" s="264" t="s">
        <v>37</v>
      </c>
      <c r="G23" s="6"/>
      <c r="H23" s="41"/>
      <c r="I23" s="41"/>
    </row>
    <row r="24" spans="2:30">
      <c r="B24" s="1"/>
      <c r="C24" s="262"/>
      <c r="D24" s="39" t="s">
        <v>38</v>
      </c>
      <c r="E24" s="40">
        <v>87.5</v>
      </c>
      <c r="F24" s="264"/>
      <c r="G24" s="6"/>
      <c r="H24" s="41"/>
      <c r="I24" s="41"/>
    </row>
    <row r="25" spans="2:30">
      <c r="B25" s="1"/>
      <c r="C25" s="263"/>
      <c r="D25" s="39" t="s">
        <v>39</v>
      </c>
      <c r="E25" s="40">
        <v>137.19999999999999</v>
      </c>
      <c r="F25" s="264"/>
      <c r="G25" s="6"/>
      <c r="H25" s="41"/>
      <c r="I25" s="41"/>
    </row>
    <row r="26" spans="2:30">
      <c r="B26" s="1"/>
      <c r="C26" s="6"/>
      <c r="D26" s="34"/>
      <c r="E26" s="34"/>
      <c r="F26" s="6"/>
      <c r="G26" s="6"/>
      <c r="H26" s="41"/>
      <c r="I26" s="41"/>
    </row>
    <row r="27" spans="2:30">
      <c r="B27" s="1"/>
      <c r="C27" s="6"/>
      <c r="D27" s="23"/>
      <c r="E27" s="6"/>
      <c r="F27" s="6"/>
      <c r="G27" s="6"/>
      <c r="H27" s="1"/>
      <c r="I27" s="1"/>
    </row>
    <row r="28" spans="2:30">
      <c r="B28" s="21" t="s">
        <v>40</v>
      </c>
      <c r="D28" s="23"/>
      <c r="E28" s="6"/>
      <c r="F28" s="6"/>
      <c r="G28" s="6"/>
      <c r="H28" s="1"/>
      <c r="I28" s="1"/>
    </row>
    <row r="29" spans="2:30">
      <c r="B29" s="21"/>
      <c r="C29" s="24" t="s">
        <v>41</v>
      </c>
      <c r="D29" s="250" t="s">
        <v>42</v>
      </c>
      <c r="E29" s="265"/>
      <c r="F29" s="251"/>
      <c r="G29" s="250" t="s">
        <v>43</v>
      </c>
      <c r="H29" s="251"/>
      <c r="I29" s="34"/>
      <c r="J29" s="34"/>
      <c r="K29" s="42"/>
    </row>
    <row r="30" spans="2:30">
      <c r="B30" s="21"/>
      <c r="C30" s="248" t="s">
        <v>44</v>
      </c>
      <c r="D30" s="249" t="s">
        <v>45</v>
      </c>
      <c r="E30" s="249"/>
      <c r="F30" s="249"/>
      <c r="G30" s="243">
        <v>1</v>
      </c>
      <c r="H30" s="43" t="s">
        <v>46</v>
      </c>
      <c r="I30" s="34"/>
      <c r="J30" s="34"/>
      <c r="K30" s="42"/>
    </row>
    <row r="31" spans="2:30">
      <c r="B31" s="21"/>
      <c r="C31" s="248"/>
      <c r="D31" s="249"/>
      <c r="E31" s="249"/>
      <c r="F31" s="249"/>
      <c r="G31" s="244"/>
      <c r="H31" s="43" t="s">
        <v>47</v>
      </c>
      <c r="I31" s="34"/>
      <c r="J31" s="34"/>
      <c r="K31" s="42"/>
    </row>
    <row r="32" spans="2:30" ht="48.75" customHeight="1">
      <c r="B32" s="21"/>
      <c r="C32" s="241" t="s">
        <v>48</v>
      </c>
      <c r="D32" s="242" t="s">
        <v>49</v>
      </c>
      <c r="E32" s="242"/>
      <c r="F32" s="242"/>
      <c r="G32" s="243">
        <v>1</v>
      </c>
      <c r="H32" s="43" t="s">
        <v>46</v>
      </c>
      <c r="I32" s="34"/>
      <c r="J32" s="34"/>
      <c r="K32" s="42"/>
    </row>
    <row r="33" spans="2:11" ht="27" customHeight="1">
      <c r="B33" s="21"/>
      <c r="C33" s="241"/>
      <c r="D33" s="242"/>
      <c r="E33" s="242"/>
      <c r="F33" s="242"/>
      <c r="G33" s="244"/>
      <c r="H33" s="43" t="s">
        <v>47</v>
      </c>
      <c r="I33" s="34"/>
      <c r="J33" s="34"/>
      <c r="K33" s="42"/>
    </row>
    <row r="34" spans="2:11" ht="29.25" customHeight="1">
      <c r="B34" s="21"/>
      <c r="C34" s="241" t="s">
        <v>50</v>
      </c>
      <c r="D34" s="247" t="s">
        <v>51</v>
      </c>
      <c r="E34" s="247"/>
      <c r="F34" s="247"/>
      <c r="G34" s="243">
        <v>1</v>
      </c>
      <c r="H34" s="43" t="s">
        <v>46</v>
      </c>
      <c r="I34" s="34"/>
      <c r="J34" s="34"/>
      <c r="K34" s="42"/>
    </row>
    <row r="35" spans="2:11" ht="30.75" customHeight="1">
      <c r="B35" s="21"/>
      <c r="C35" s="241"/>
      <c r="D35" s="247"/>
      <c r="E35" s="247"/>
      <c r="F35" s="247"/>
      <c r="G35" s="244"/>
      <c r="H35" s="43" t="s">
        <v>47</v>
      </c>
      <c r="I35" s="34"/>
      <c r="J35" s="34"/>
      <c r="K35" s="42"/>
    </row>
    <row r="36" spans="2:11" ht="15" customHeight="1">
      <c r="B36" s="23"/>
      <c r="C36" s="241" t="s">
        <v>52</v>
      </c>
      <c r="D36" s="242" t="s">
        <v>53</v>
      </c>
      <c r="E36" s="242"/>
      <c r="F36" s="242"/>
      <c r="G36" s="243">
        <v>1</v>
      </c>
      <c r="H36" s="43" t="s">
        <v>46</v>
      </c>
      <c r="I36" s="34"/>
      <c r="J36" s="34"/>
      <c r="K36" s="42"/>
    </row>
    <row r="37" spans="2:11">
      <c r="B37" s="23"/>
      <c r="C37" s="241"/>
      <c r="D37" s="242"/>
      <c r="E37" s="242"/>
      <c r="F37" s="242"/>
      <c r="G37" s="244"/>
      <c r="H37" s="43" t="s">
        <v>47</v>
      </c>
      <c r="I37" s="34"/>
      <c r="J37" s="34"/>
      <c r="K37" s="42"/>
    </row>
    <row r="38" spans="2:11" ht="15" customHeight="1">
      <c r="B38" s="23"/>
      <c r="C38" s="245" t="s">
        <v>54</v>
      </c>
      <c r="D38" s="246" t="s">
        <v>55</v>
      </c>
      <c r="E38" s="246"/>
      <c r="F38" s="246"/>
      <c r="G38" s="243">
        <v>1</v>
      </c>
      <c r="H38" s="43" t="s">
        <v>46</v>
      </c>
      <c r="I38" s="34"/>
      <c r="J38" s="34"/>
      <c r="K38" s="42"/>
    </row>
    <row r="39" spans="2:11">
      <c r="B39" s="23"/>
      <c r="C39" s="245"/>
      <c r="D39" s="246"/>
      <c r="E39" s="246"/>
      <c r="F39" s="246"/>
      <c r="G39" s="244"/>
      <c r="H39" s="43" t="s">
        <v>47</v>
      </c>
      <c r="I39" s="34"/>
      <c r="J39" s="34"/>
      <c r="K39" s="42"/>
    </row>
    <row r="40" spans="2:11">
      <c r="B40" s="1"/>
      <c r="C40" s="12"/>
      <c r="D40" s="12"/>
      <c r="E40" s="12"/>
      <c r="F40" s="12"/>
      <c r="G40" s="12"/>
      <c r="H40" s="12"/>
      <c r="I40" s="1"/>
    </row>
    <row r="41" spans="2:11">
      <c r="B41" s="21" t="s">
        <v>56</v>
      </c>
      <c r="D41" s="2"/>
      <c r="E41" s="6"/>
      <c r="F41" s="6"/>
      <c r="G41" s="6"/>
      <c r="H41" s="1"/>
      <c r="I41" s="1"/>
    </row>
    <row r="42" spans="2:11" ht="27.75" customHeight="1">
      <c r="B42" s="218" t="s">
        <v>57</v>
      </c>
      <c r="C42" s="219"/>
      <c r="D42" s="220"/>
      <c r="E42" s="31" t="s">
        <v>58</v>
      </c>
      <c r="F42" s="31" t="s">
        <v>59</v>
      </c>
      <c r="G42" s="31" t="s">
        <v>60</v>
      </c>
      <c r="H42" s="1"/>
      <c r="I42" s="1"/>
    </row>
    <row r="43" spans="2:11" s="45" customFormat="1" ht="24.75" customHeight="1">
      <c r="B43" s="218" t="s">
        <v>61</v>
      </c>
      <c r="C43" s="219"/>
      <c r="D43" s="220"/>
      <c r="E43" s="31" t="s">
        <v>62</v>
      </c>
      <c r="F43" s="31" t="s">
        <v>63</v>
      </c>
      <c r="G43" s="31" t="s">
        <v>64</v>
      </c>
      <c r="H43" s="6"/>
      <c r="I43" s="6"/>
    </row>
    <row r="44" spans="2:11" ht="27" customHeight="1">
      <c r="B44" s="218" t="s">
        <v>65</v>
      </c>
      <c r="C44" s="219"/>
      <c r="D44" s="220"/>
      <c r="E44" s="31" t="s">
        <v>66</v>
      </c>
      <c r="F44" s="31" t="s">
        <v>67</v>
      </c>
      <c r="G44" s="31" t="s">
        <v>68</v>
      </c>
      <c r="H44" s="1"/>
      <c r="I44" s="1"/>
    </row>
    <row r="45" spans="2:11" ht="15" customHeight="1">
      <c r="B45" s="221" t="s">
        <v>69</v>
      </c>
      <c r="C45" s="222"/>
      <c r="D45" s="223"/>
      <c r="E45" s="230" t="s">
        <v>70</v>
      </c>
      <c r="F45" s="231"/>
      <c r="G45" s="232"/>
      <c r="H45" s="1"/>
      <c r="I45" s="1"/>
    </row>
    <row r="46" spans="2:11" ht="15" customHeight="1">
      <c r="B46" s="224"/>
      <c r="C46" s="225"/>
      <c r="D46" s="226"/>
      <c r="E46" s="230" t="s">
        <v>71</v>
      </c>
      <c r="F46" s="231"/>
      <c r="G46" s="232"/>
      <c r="H46" s="1"/>
      <c r="I46" s="1"/>
    </row>
    <row r="47" spans="2:11" ht="15.75" customHeight="1">
      <c r="B47" s="227"/>
      <c r="C47" s="228"/>
      <c r="D47" s="229"/>
      <c r="E47" s="230" t="s">
        <v>72</v>
      </c>
      <c r="F47" s="231"/>
      <c r="G47" s="232"/>
      <c r="H47" s="1"/>
      <c r="I47" s="1"/>
    </row>
    <row r="48" spans="2:11">
      <c r="B48" s="21"/>
      <c r="D48" s="2"/>
      <c r="E48" s="6"/>
      <c r="F48" s="6"/>
      <c r="G48" s="6"/>
      <c r="H48" s="1"/>
      <c r="I48" s="1"/>
    </row>
    <row r="49" spans="2:12" s="46" customFormat="1" ht="14.25">
      <c r="B49" s="233" t="s">
        <v>14</v>
      </c>
      <c r="C49" s="234" t="s">
        <v>73</v>
      </c>
      <c r="D49" s="235"/>
      <c r="E49" s="236"/>
      <c r="F49" s="233" t="s">
        <v>74</v>
      </c>
      <c r="G49" s="240" t="s">
        <v>75</v>
      </c>
      <c r="H49" s="240"/>
      <c r="I49" s="233" t="s">
        <v>76</v>
      </c>
      <c r="J49" s="233"/>
      <c r="K49" s="233"/>
      <c r="L49" s="217"/>
    </row>
    <row r="50" spans="2:12" s="46" customFormat="1" ht="14.25">
      <c r="B50" s="233"/>
      <c r="C50" s="237"/>
      <c r="D50" s="238"/>
      <c r="E50" s="239"/>
      <c r="F50" s="233"/>
      <c r="G50" s="26" t="s">
        <v>77</v>
      </c>
      <c r="H50" s="26" t="s">
        <v>78</v>
      </c>
      <c r="I50" s="233"/>
      <c r="J50" s="233"/>
      <c r="K50" s="233"/>
      <c r="L50" s="217"/>
    </row>
    <row r="51" spans="2:12" ht="30" customHeight="1">
      <c r="B51" s="27">
        <v>1</v>
      </c>
      <c r="C51" s="208" t="s">
        <v>79</v>
      </c>
      <c r="D51" s="209"/>
      <c r="E51" s="210"/>
      <c r="F51" s="47">
        <v>0.23100000000000001</v>
      </c>
      <c r="G51" s="37" t="s">
        <v>80</v>
      </c>
      <c r="H51" s="37"/>
      <c r="I51" s="48" t="s">
        <v>81</v>
      </c>
      <c r="J51" s="49">
        <v>0.3</v>
      </c>
      <c r="K51" s="48" t="s">
        <v>82</v>
      </c>
      <c r="L51" s="42"/>
    </row>
    <row r="52" spans="2:12" ht="21" customHeight="1">
      <c r="B52" s="31">
        <v>2</v>
      </c>
      <c r="C52" s="211" t="s">
        <v>83</v>
      </c>
      <c r="D52" s="212"/>
      <c r="E52" s="213"/>
      <c r="F52" s="50" t="s">
        <v>84</v>
      </c>
      <c r="G52" s="37" t="s">
        <v>80</v>
      </c>
      <c r="H52" s="37"/>
      <c r="I52" s="51" t="s">
        <v>85</v>
      </c>
      <c r="J52" s="51">
        <v>2</v>
      </c>
      <c r="K52" s="51" t="s">
        <v>86</v>
      </c>
      <c r="L52" s="42"/>
    </row>
    <row r="53" spans="2:12">
      <c r="B53" s="31">
        <v>3</v>
      </c>
      <c r="C53" s="211" t="s">
        <v>87</v>
      </c>
      <c r="D53" s="212"/>
      <c r="E53" s="213"/>
      <c r="F53" s="50">
        <v>0.9</v>
      </c>
      <c r="G53" s="37" t="s">
        <v>80</v>
      </c>
      <c r="H53" s="37"/>
      <c r="I53" s="51" t="s">
        <v>81</v>
      </c>
      <c r="J53" s="51">
        <v>500</v>
      </c>
      <c r="K53" s="51" t="s">
        <v>88</v>
      </c>
      <c r="L53" s="42"/>
    </row>
    <row r="54" spans="2:12">
      <c r="B54" s="15"/>
      <c r="C54" s="15"/>
      <c r="D54" s="15"/>
      <c r="E54" s="15"/>
      <c r="F54" s="15"/>
      <c r="G54" s="15"/>
      <c r="H54" s="15"/>
      <c r="I54" s="17"/>
      <c r="J54" s="16"/>
      <c r="K54" s="12"/>
    </row>
    <row r="56" spans="2:12">
      <c r="B56" s="46" t="s">
        <v>89</v>
      </c>
    </row>
    <row r="57" spans="2:12" ht="44.25" customHeight="1">
      <c r="B57" s="202" t="s">
        <v>73</v>
      </c>
      <c r="C57" s="202"/>
      <c r="D57" s="214" t="s">
        <v>105</v>
      </c>
      <c r="E57" s="215"/>
      <c r="F57" s="216"/>
    </row>
    <row r="58" spans="2:12">
      <c r="B58" s="202"/>
      <c r="C58" s="202"/>
      <c r="D58" s="61" t="s">
        <v>62</v>
      </c>
      <c r="E58" s="61" t="s">
        <v>63</v>
      </c>
      <c r="F58" s="61" t="s">
        <v>90</v>
      </c>
    </row>
    <row r="59" spans="2:12" ht="27.75" customHeight="1">
      <c r="B59" s="202" t="s">
        <v>137</v>
      </c>
      <c r="C59" s="202"/>
      <c r="D59" s="94">
        <v>1</v>
      </c>
      <c r="E59" s="94">
        <v>1</v>
      </c>
      <c r="F59" s="94">
        <v>2</v>
      </c>
    </row>
    <row r="60" spans="2:12" ht="15.75" customHeight="1">
      <c r="B60" s="202" t="s">
        <v>138</v>
      </c>
      <c r="C60" s="202"/>
      <c r="D60" s="94">
        <v>2</v>
      </c>
      <c r="E60" s="94">
        <v>2</v>
      </c>
      <c r="F60" s="94">
        <v>3</v>
      </c>
    </row>
    <row r="61" spans="2:12" ht="18" customHeight="1">
      <c r="B61" s="202" t="s">
        <v>139</v>
      </c>
      <c r="C61" s="202"/>
      <c r="D61" s="94">
        <v>4</v>
      </c>
      <c r="E61" s="94">
        <v>4</v>
      </c>
      <c r="F61" s="94">
        <v>3</v>
      </c>
    </row>
    <row r="62" spans="2:12" ht="18" customHeight="1">
      <c r="B62" s="202" t="s">
        <v>140</v>
      </c>
      <c r="C62" s="202"/>
      <c r="D62" s="94">
        <v>1</v>
      </c>
      <c r="E62" s="94">
        <v>1</v>
      </c>
      <c r="F62" s="94">
        <v>3</v>
      </c>
    </row>
    <row r="63" spans="2:12" ht="18" customHeight="1">
      <c r="B63" s="202" t="s">
        <v>141</v>
      </c>
      <c r="C63" s="202"/>
      <c r="D63" s="94">
        <v>4</v>
      </c>
      <c r="E63" s="94">
        <v>4</v>
      </c>
      <c r="F63" s="94">
        <v>5</v>
      </c>
    </row>
    <row r="64" spans="2:12" ht="13.5" customHeight="1">
      <c r="B64" s="202" t="s">
        <v>142</v>
      </c>
      <c r="C64" s="202"/>
      <c r="D64" s="94">
        <v>4</v>
      </c>
      <c r="E64" s="94">
        <v>4</v>
      </c>
      <c r="F64" s="94">
        <v>5</v>
      </c>
    </row>
    <row r="65" spans="2:6" ht="18" customHeight="1">
      <c r="B65" s="202" t="s">
        <v>143</v>
      </c>
      <c r="C65" s="202"/>
      <c r="D65" s="94">
        <v>4</v>
      </c>
      <c r="E65" s="94">
        <v>4</v>
      </c>
      <c r="F65" s="94">
        <v>5</v>
      </c>
    </row>
    <row r="66" spans="2:6" ht="18" customHeight="1">
      <c r="B66" s="202" t="s">
        <v>144</v>
      </c>
      <c r="C66" s="202"/>
      <c r="D66" s="94">
        <v>4</v>
      </c>
      <c r="E66" s="94">
        <v>4</v>
      </c>
      <c r="F66" s="94">
        <v>5</v>
      </c>
    </row>
    <row r="67" spans="2:6" ht="18.75" customHeight="1">
      <c r="B67" s="202" t="s">
        <v>145</v>
      </c>
      <c r="C67" s="202"/>
      <c r="D67" s="94">
        <v>4</v>
      </c>
      <c r="E67" s="94">
        <v>4</v>
      </c>
      <c r="F67" s="94">
        <v>5</v>
      </c>
    </row>
    <row r="68" spans="2:6">
      <c r="B68" s="207" t="s">
        <v>146</v>
      </c>
      <c r="C68" s="207"/>
      <c r="D68" s="94">
        <v>4</v>
      </c>
      <c r="E68" s="94">
        <v>4</v>
      </c>
      <c r="F68" s="94">
        <v>5</v>
      </c>
    </row>
    <row r="69" spans="2:6">
      <c r="C69" s="46"/>
    </row>
    <row r="70" spans="2:6">
      <c r="B70" s="46" t="s">
        <v>91</v>
      </c>
      <c r="C70" s="46"/>
    </row>
    <row r="71" spans="2:6">
      <c r="B71" s="203" t="s">
        <v>14</v>
      </c>
      <c r="C71" s="203" t="s">
        <v>73</v>
      </c>
      <c r="D71" s="205" t="s">
        <v>43</v>
      </c>
      <c r="E71" s="206"/>
    </row>
    <row r="72" spans="2:6">
      <c r="B72" s="204"/>
      <c r="C72" s="204"/>
      <c r="D72" s="52" t="s">
        <v>46</v>
      </c>
      <c r="E72" s="52" t="s">
        <v>92</v>
      </c>
    </row>
    <row r="73" spans="2:6">
      <c r="B73" s="52">
        <v>1</v>
      </c>
      <c r="C73" s="53" t="s">
        <v>93</v>
      </c>
      <c r="D73" s="54" t="s">
        <v>94</v>
      </c>
      <c r="E73" s="52"/>
    </row>
    <row r="74" spans="2:6">
      <c r="B74" s="52">
        <v>2</v>
      </c>
      <c r="C74" s="53" t="s">
        <v>95</v>
      </c>
      <c r="D74" s="54" t="s">
        <v>94</v>
      </c>
      <c r="E74" s="52"/>
    </row>
    <row r="75" spans="2:6">
      <c r="B75" s="52">
        <v>3</v>
      </c>
      <c r="C75" s="53" t="s">
        <v>96</v>
      </c>
      <c r="D75" s="54" t="s">
        <v>94</v>
      </c>
      <c r="E75" s="52"/>
    </row>
    <row r="76" spans="2:6">
      <c r="C76" s="46"/>
    </row>
    <row r="77" spans="2:6">
      <c r="B77" s="46" t="s">
        <v>97</v>
      </c>
      <c r="C77" s="46"/>
    </row>
    <row r="78" spans="2:6" ht="26.25" customHeight="1">
      <c r="B78" s="199" t="s">
        <v>98</v>
      </c>
      <c r="C78" s="200"/>
      <c r="D78" s="201"/>
      <c r="E78" s="55"/>
    </row>
    <row r="79" spans="2:6" ht="26.25" customHeight="1">
      <c r="B79" s="199" t="s">
        <v>99</v>
      </c>
      <c r="C79" s="200"/>
      <c r="D79" s="201"/>
      <c r="E79" s="55"/>
    </row>
    <row r="80" spans="2:6">
      <c r="C80" s="46"/>
    </row>
    <row r="81" spans="2:18">
      <c r="B81" s="56" t="s">
        <v>100</v>
      </c>
      <c r="C81" s="56"/>
      <c r="R81" s="57"/>
    </row>
    <row r="82" spans="2:18">
      <c r="B82" s="58"/>
      <c r="C82" s="56" t="s">
        <v>101</v>
      </c>
      <c r="R82" s="57"/>
    </row>
    <row r="83" spans="2:18">
      <c r="B83" s="59"/>
      <c r="C83" s="56" t="s">
        <v>102</v>
      </c>
    </row>
    <row r="95" spans="2:18" ht="15" customHeight="1"/>
  </sheetData>
  <mergeCells count="68">
    <mergeCell ref="C2:H2"/>
    <mergeCell ref="D5:E5"/>
    <mergeCell ref="D6:E6"/>
    <mergeCell ref="H6:I6"/>
    <mergeCell ref="D7:E7"/>
    <mergeCell ref="H7:I7"/>
    <mergeCell ref="G29:H29"/>
    <mergeCell ref="C13:D13"/>
    <mergeCell ref="C14:D14"/>
    <mergeCell ref="D8:E8"/>
    <mergeCell ref="H8:I8"/>
    <mergeCell ref="D9:E9"/>
    <mergeCell ref="H9:I9"/>
    <mergeCell ref="D10:E10"/>
    <mergeCell ref="H10:I10"/>
    <mergeCell ref="C15:D15"/>
    <mergeCell ref="C16:D16"/>
    <mergeCell ref="C23:C25"/>
    <mergeCell ref="F23:F25"/>
    <mergeCell ref="D29:F29"/>
    <mergeCell ref="C34:C35"/>
    <mergeCell ref="D34:F35"/>
    <mergeCell ref="G34:G35"/>
    <mergeCell ref="C30:C31"/>
    <mergeCell ref="D30:F31"/>
    <mergeCell ref="G30:G31"/>
    <mergeCell ref="C32:C33"/>
    <mergeCell ref="D32:F33"/>
    <mergeCell ref="G32:G33"/>
    <mergeCell ref="C36:C37"/>
    <mergeCell ref="D36:F37"/>
    <mergeCell ref="G36:G37"/>
    <mergeCell ref="C38:C39"/>
    <mergeCell ref="D38:F39"/>
    <mergeCell ref="G38:G39"/>
    <mergeCell ref="B49:B50"/>
    <mergeCell ref="C49:E50"/>
    <mergeCell ref="F49:F50"/>
    <mergeCell ref="G49:H49"/>
    <mergeCell ref="I49:K50"/>
    <mergeCell ref="B42:D42"/>
    <mergeCell ref="B43:D43"/>
    <mergeCell ref="B44:D44"/>
    <mergeCell ref="B45:D47"/>
    <mergeCell ref="E45:G45"/>
    <mergeCell ref="E46:G46"/>
    <mergeCell ref="E47:G47"/>
    <mergeCell ref="C51:E51"/>
    <mergeCell ref="C52:E52"/>
    <mergeCell ref="C53:E53"/>
    <mergeCell ref="D57:F57"/>
    <mergeCell ref="L49:L50"/>
    <mergeCell ref="B79:D79"/>
    <mergeCell ref="B57:C58"/>
    <mergeCell ref="B59:C59"/>
    <mergeCell ref="B67:C67"/>
    <mergeCell ref="B71:B72"/>
    <mergeCell ref="C71:C72"/>
    <mergeCell ref="D71:E71"/>
    <mergeCell ref="B78:D78"/>
    <mergeCell ref="B62:C62"/>
    <mergeCell ref="B63:C63"/>
    <mergeCell ref="B64:C64"/>
    <mergeCell ref="B65:C65"/>
    <mergeCell ref="B66:C66"/>
    <mergeCell ref="B68:C68"/>
    <mergeCell ref="B60:C60"/>
    <mergeCell ref="B61:C61"/>
  </mergeCells>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A1E2A-6679-4C7E-915B-271B53E94F72}">
  <dimension ref="B1:AE75"/>
  <sheetViews>
    <sheetView topLeftCell="A37" zoomScale="80" zoomScaleNormal="80" workbookViewId="0">
      <selection activeCell="M52" sqref="M52:M63"/>
    </sheetView>
  </sheetViews>
  <sheetFormatPr defaultRowHeight="15"/>
  <cols>
    <col min="1" max="1" width="9.140625" style="3"/>
    <col min="2" max="2" width="3.7109375" style="3" customWidth="1"/>
    <col min="3" max="3" width="22" style="3" customWidth="1"/>
    <col min="4" max="4" width="18.5703125" style="3" customWidth="1"/>
    <col min="5" max="5" width="18.140625" style="3" customWidth="1"/>
    <col min="6" max="6" width="19.5703125" style="3" customWidth="1"/>
    <col min="7" max="7" width="16.85546875" style="3" customWidth="1"/>
    <col min="8" max="8" width="15.140625" style="3" customWidth="1"/>
    <col min="9" max="9" width="21.28515625" style="3" customWidth="1"/>
    <col min="10" max="10" width="13.85546875" style="3" customWidth="1"/>
    <col min="11" max="11" width="15.5703125" style="3" customWidth="1"/>
    <col min="12" max="12" width="17.28515625" style="3" customWidth="1"/>
    <col min="13" max="13" width="18.28515625" style="3" bestFit="1" customWidth="1"/>
    <col min="14" max="14" width="12.5703125" style="3" customWidth="1"/>
    <col min="15" max="15" width="10.7109375" style="3" customWidth="1"/>
    <col min="16" max="16" width="12.5703125" style="3" customWidth="1"/>
    <col min="17" max="17" width="9.7109375" style="3" customWidth="1"/>
    <col min="18" max="18" width="14.5703125" style="3" customWidth="1"/>
    <col min="19" max="19" width="13.28515625" style="3" customWidth="1"/>
    <col min="20" max="20" width="12.7109375" style="3" customWidth="1"/>
    <col min="21" max="21" width="19.28515625" style="3" customWidth="1"/>
    <col min="22" max="22" width="12.5703125" style="3" customWidth="1"/>
    <col min="23" max="23" width="12.140625" style="3" customWidth="1"/>
    <col min="24" max="24" width="11.140625" style="3" customWidth="1"/>
    <col min="25" max="25" width="12.140625" style="3" customWidth="1"/>
    <col min="26" max="26" width="12.5703125" style="3" customWidth="1"/>
    <col min="27" max="27" width="12.140625" style="3" customWidth="1"/>
    <col min="28" max="29" width="14" style="3" customWidth="1"/>
    <col min="30" max="30" width="10.85546875" style="3" customWidth="1"/>
    <col min="31" max="31" width="13.5703125" style="3" customWidth="1"/>
    <col min="32" max="32" width="9.7109375" style="3" customWidth="1"/>
    <col min="33" max="33" width="5.7109375" style="3" customWidth="1"/>
    <col min="34" max="16384" width="9.140625" style="3"/>
  </cols>
  <sheetData>
    <row r="1" spans="2:31">
      <c r="B1" s="1"/>
      <c r="C1" s="2"/>
      <c r="D1" s="2"/>
      <c r="E1" s="2"/>
      <c r="F1" s="2"/>
      <c r="G1" s="2"/>
      <c r="H1" s="2"/>
      <c r="I1" s="1"/>
    </row>
    <row r="2" spans="2:31">
      <c r="B2" s="1"/>
      <c r="C2" s="266" t="s">
        <v>103</v>
      </c>
      <c r="D2" s="266"/>
      <c r="E2" s="266"/>
      <c r="F2" s="266"/>
      <c r="G2" s="266"/>
      <c r="H2" s="266"/>
      <c r="I2" s="4"/>
    </row>
    <row r="3" spans="2:31">
      <c r="B3" s="1"/>
      <c r="C3" s="5"/>
      <c r="D3" s="5"/>
      <c r="E3" s="5"/>
      <c r="F3" s="5"/>
      <c r="G3" s="6"/>
      <c r="H3" s="5"/>
      <c r="I3" s="5"/>
    </row>
    <row r="4" spans="2:31">
      <c r="B4" s="7" t="s">
        <v>0</v>
      </c>
      <c r="D4" s="8"/>
      <c r="E4" s="8"/>
      <c r="F4" s="8"/>
      <c r="G4" s="8"/>
      <c r="H4" s="8"/>
      <c r="I4" s="8"/>
    </row>
    <row r="5" spans="2:31" ht="15.75">
      <c r="B5" s="1"/>
      <c r="C5" s="2" t="s">
        <v>1</v>
      </c>
      <c r="D5" s="256" t="str">
        <f>'Input data'!D5</f>
        <v>S.612</v>
      </c>
      <c r="E5" s="256"/>
      <c r="F5" s="2" t="s">
        <v>2</v>
      </c>
      <c r="G5" s="1"/>
      <c r="H5" s="268">
        <f>'Input data'!H5</f>
        <v>0</v>
      </c>
      <c r="I5" s="269"/>
      <c r="P5" s="11"/>
      <c r="Q5" s="12"/>
      <c r="R5" s="12"/>
      <c r="S5" s="12"/>
      <c r="T5" s="12"/>
      <c r="U5" s="12"/>
      <c r="V5" s="12"/>
      <c r="W5" s="12"/>
      <c r="X5" s="12"/>
      <c r="Y5" s="12"/>
      <c r="Z5" s="13"/>
      <c r="AA5" s="13"/>
      <c r="AB5" s="13"/>
      <c r="AC5" s="14"/>
      <c r="AD5" s="14"/>
      <c r="AE5" s="12"/>
    </row>
    <row r="6" spans="2:31" ht="15" customHeight="1">
      <c r="B6" s="1"/>
      <c r="C6" s="2" t="s">
        <v>3</v>
      </c>
      <c r="D6" s="256" t="str">
        <f>'Input data'!D6</f>
        <v>Urine Analyzer</v>
      </c>
      <c r="E6" s="256"/>
      <c r="F6" s="2" t="s">
        <v>4</v>
      </c>
      <c r="G6" s="1"/>
      <c r="H6" s="268" t="str">
        <f>'Input data'!H6</f>
        <v>PT. Presisi Kalibrasi Medika</v>
      </c>
      <c r="I6" s="269"/>
      <c r="P6" s="13"/>
      <c r="Q6" s="13"/>
      <c r="R6" s="13"/>
      <c r="S6" s="13"/>
      <c r="T6" s="13"/>
      <c r="U6" s="13"/>
      <c r="V6" s="13"/>
      <c r="W6" s="13"/>
      <c r="X6" s="13"/>
      <c r="Y6" s="13"/>
      <c r="Z6" s="13"/>
      <c r="AA6" s="13"/>
      <c r="AB6" s="13"/>
      <c r="AC6" s="14"/>
      <c r="AD6" s="14"/>
      <c r="AE6" s="12"/>
    </row>
    <row r="7" spans="2:31" ht="15" customHeight="1">
      <c r="B7" s="1"/>
      <c r="C7" s="2" t="s">
        <v>5</v>
      </c>
      <c r="D7" s="256" t="str">
        <f>'Input data'!D7</f>
        <v>SM</v>
      </c>
      <c r="E7" s="256"/>
      <c r="F7" s="2" t="s">
        <v>6</v>
      </c>
      <c r="G7" s="2"/>
      <c r="H7" s="268" t="str">
        <f>'Input data'!H7</f>
        <v>R. Laboratorium</v>
      </c>
      <c r="I7" s="269"/>
      <c r="K7" s="83"/>
      <c r="P7" s="13"/>
      <c r="Q7" s="13"/>
      <c r="R7" s="13"/>
      <c r="S7" s="13"/>
      <c r="T7" s="13"/>
      <c r="U7" s="13"/>
      <c r="V7" s="13"/>
      <c r="W7" s="13"/>
      <c r="X7" s="13"/>
      <c r="Y7" s="13"/>
      <c r="Z7" s="13"/>
      <c r="AA7" s="13"/>
      <c r="AB7" s="13"/>
      <c r="AC7" s="14"/>
      <c r="AD7" s="15"/>
      <c r="AE7" s="12"/>
    </row>
    <row r="8" spans="2:31" ht="15" customHeight="1">
      <c r="B8" s="1"/>
      <c r="C8" s="2" t="s">
        <v>7</v>
      </c>
      <c r="D8" s="256" t="str">
        <f>'Input data'!D8</f>
        <v>SM S-600</v>
      </c>
      <c r="E8" s="256"/>
      <c r="F8" s="1" t="s">
        <v>8</v>
      </c>
      <c r="G8" s="1"/>
      <c r="H8" s="268">
        <f>'Input data'!H8</f>
        <v>46266</v>
      </c>
      <c r="I8" s="269"/>
      <c r="P8" s="13"/>
      <c r="Q8" s="13"/>
      <c r="R8" s="13"/>
      <c r="S8" s="13"/>
      <c r="T8" s="13"/>
      <c r="U8" s="13"/>
      <c r="V8" s="16"/>
      <c r="W8" s="16"/>
      <c r="X8" s="16"/>
      <c r="Y8" s="16"/>
      <c r="Z8" s="13"/>
      <c r="AA8" s="16"/>
      <c r="AB8" s="16"/>
      <c r="AC8" s="14"/>
      <c r="AD8" s="15"/>
      <c r="AE8" s="12"/>
    </row>
    <row r="9" spans="2:31">
      <c r="B9" s="1"/>
      <c r="C9" s="2" t="s">
        <v>9</v>
      </c>
      <c r="D9" s="256">
        <f>'Input data'!D9</f>
        <v>111</v>
      </c>
      <c r="E9" s="256"/>
      <c r="F9" s="2" t="s">
        <v>10</v>
      </c>
      <c r="G9" s="2"/>
      <c r="H9" s="268">
        <f>'Input data'!H9</f>
        <v>46266</v>
      </c>
      <c r="I9" s="269"/>
      <c r="P9" s="17"/>
      <c r="Q9" s="16"/>
      <c r="R9" s="16"/>
      <c r="S9" s="16"/>
      <c r="T9" s="16"/>
      <c r="U9" s="16"/>
      <c r="V9" s="16"/>
      <c r="W9" s="16"/>
      <c r="X9" s="16"/>
      <c r="Y9" s="16"/>
      <c r="Z9" s="16"/>
      <c r="AA9" s="16"/>
      <c r="AB9" s="16"/>
      <c r="AC9" s="18"/>
      <c r="AD9" s="18"/>
      <c r="AE9" s="12"/>
    </row>
    <row r="10" spans="2:31">
      <c r="B10" s="1"/>
      <c r="C10" s="2" t="s">
        <v>11</v>
      </c>
      <c r="D10" s="256">
        <f>'Input data'!D10</f>
        <v>0</v>
      </c>
      <c r="E10" s="256"/>
      <c r="F10" s="2" t="s">
        <v>12</v>
      </c>
      <c r="G10" s="2"/>
      <c r="H10" s="268" t="str">
        <f>'Input data'!H10</f>
        <v>el</v>
      </c>
      <c r="I10" s="269"/>
      <c r="P10" s="17"/>
      <c r="Q10" s="16"/>
      <c r="R10" s="16"/>
      <c r="S10" s="16"/>
      <c r="T10" s="16"/>
      <c r="U10" s="16"/>
      <c r="V10" s="16"/>
      <c r="W10" s="16"/>
      <c r="X10" s="16"/>
      <c r="Y10" s="16"/>
      <c r="Z10" s="16"/>
      <c r="AA10" s="16"/>
      <c r="AB10" s="16"/>
      <c r="AC10" s="18"/>
      <c r="AD10" s="18"/>
      <c r="AE10" s="12"/>
    </row>
    <row r="11" spans="2:31">
      <c r="B11" s="1"/>
      <c r="C11" s="2" t="s">
        <v>132</v>
      </c>
      <c r="D11" s="176">
        <f>'Input data'!D11</f>
        <v>1</v>
      </c>
      <c r="E11" s="177"/>
      <c r="F11" s="1"/>
      <c r="G11" s="1"/>
      <c r="H11" s="1"/>
      <c r="I11" s="1"/>
      <c r="P11" s="17"/>
      <c r="Q11" s="16"/>
      <c r="R11" s="16"/>
      <c r="S11" s="16"/>
      <c r="T11" s="16"/>
      <c r="U11" s="16"/>
      <c r="V11" s="16"/>
      <c r="W11" s="16"/>
      <c r="X11" s="16"/>
      <c r="Y11" s="16"/>
      <c r="Z11" s="16"/>
      <c r="AA11" s="16"/>
      <c r="AB11" s="16"/>
      <c r="AC11" s="18"/>
      <c r="AD11" s="18"/>
      <c r="AE11" s="12"/>
    </row>
    <row r="12" spans="2:31">
      <c r="B12" s="1"/>
      <c r="C12" s="2"/>
      <c r="D12" s="19"/>
      <c r="E12" s="1"/>
      <c r="F12" s="2"/>
      <c r="G12" s="2"/>
      <c r="H12" s="20"/>
      <c r="I12" s="1"/>
      <c r="P12" s="17"/>
      <c r="Q12" s="16"/>
      <c r="R12" s="16"/>
      <c r="S12" s="16"/>
      <c r="T12" s="16"/>
      <c r="U12" s="16"/>
      <c r="V12" s="16"/>
      <c r="W12" s="16"/>
      <c r="X12" s="16"/>
      <c r="Y12" s="16"/>
      <c r="Z12" s="16"/>
      <c r="AA12" s="16"/>
      <c r="AB12" s="16"/>
      <c r="AC12" s="18"/>
      <c r="AD12" s="18"/>
      <c r="AE12" s="12"/>
    </row>
    <row r="13" spans="2:31">
      <c r="B13" s="21" t="s">
        <v>13</v>
      </c>
      <c r="D13" s="6"/>
      <c r="E13" s="22"/>
      <c r="F13" s="23"/>
      <c r="G13" s="6"/>
      <c r="H13" s="1"/>
      <c r="I13" s="1"/>
      <c r="P13" s="17"/>
      <c r="Q13" s="16"/>
      <c r="R13" s="16"/>
      <c r="S13" s="16"/>
      <c r="T13" s="16"/>
      <c r="U13" s="16"/>
      <c r="V13" s="16"/>
      <c r="W13" s="16"/>
      <c r="X13" s="16"/>
      <c r="Y13" s="16"/>
      <c r="Z13" s="16"/>
      <c r="AA13" s="16"/>
      <c r="AB13" s="16"/>
      <c r="AC13" s="18"/>
      <c r="AD13" s="18"/>
      <c r="AE13" s="12"/>
    </row>
    <row r="14" spans="2:31">
      <c r="B14" s="24" t="s">
        <v>14</v>
      </c>
      <c r="C14" s="252" t="s">
        <v>15</v>
      </c>
      <c r="D14" s="253"/>
      <c r="E14" s="25" t="s">
        <v>16</v>
      </c>
      <c r="F14" s="24" t="s">
        <v>17</v>
      </c>
      <c r="G14" s="26" t="s">
        <v>18</v>
      </c>
      <c r="H14" s="1"/>
      <c r="I14" s="1"/>
      <c r="P14" s="17"/>
      <c r="Q14" s="16"/>
      <c r="R14" s="16"/>
      <c r="S14" s="16"/>
      <c r="T14" s="16"/>
      <c r="U14" s="16"/>
      <c r="V14" s="16"/>
      <c r="W14" s="16"/>
      <c r="X14" s="16"/>
      <c r="Y14" s="16"/>
      <c r="Z14" s="16"/>
      <c r="AA14" s="16"/>
      <c r="AB14" s="16"/>
      <c r="AC14" s="18"/>
      <c r="AD14" s="18"/>
      <c r="AE14" s="12"/>
    </row>
    <row r="15" spans="2:31">
      <c r="B15" s="31">
        <v>1</v>
      </c>
      <c r="C15" s="218" t="e">
        <f>'Input data'!#REF!</f>
        <v>#REF!</v>
      </c>
      <c r="D15" s="220"/>
      <c r="E15" s="67" t="e">
        <f>'Input data'!#REF!</f>
        <v>#REF!</v>
      </c>
      <c r="F15" s="67" t="e">
        <f>'Input data'!#REF!</f>
        <v>#REF!</v>
      </c>
      <c r="G15" s="67" t="e">
        <f>'Input data'!#REF!</f>
        <v>#REF!</v>
      </c>
      <c r="H15" s="1"/>
      <c r="I15" s="1"/>
      <c r="P15" s="17"/>
      <c r="Q15" s="16"/>
      <c r="R15" s="16"/>
      <c r="S15" s="16"/>
      <c r="T15" s="16"/>
      <c r="U15" s="16"/>
      <c r="V15" s="16"/>
      <c r="W15" s="16"/>
      <c r="X15" s="16"/>
      <c r="Y15" s="16"/>
      <c r="Z15" s="16"/>
      <c r="AA15" s="16"/>
      <c r="AB15" s="16"/>
      <c r="AC15" s="18"/>
      <c r="AD15" s="18"/>
      <c r="AE15" s="12"/>
    </row>
    <row r="16" spans="2:31">
      <c r="B16" s="31">
        <v>2</v>
      </c>
      <c r="C16" s="218" t="str">
        <f>'Input data'!C14</f>
        <v xml:space="preserve"> Kontrol Standard / CRM</v>
      </c>
      <c r="D16" s="220"/>
      <c r="E16" s="67" t="str">
        <f>'Input data'!E14</f>
        <v>-</v>
      </c>
      <c r="F16" s="67" t="str">
        <f>'Input data'!F14</f>
        <v>-</v>
      </c>
      <c r="G16" s="67" t="str">
        <f>'Input data'!G14</f>
        <v>-</v>
      </c>
      <c r="H16" s="1"/>
      <c r="I16" s="1"/>
      <c r="P16" s="17"/>
      <c r="Q16" s="16"/>
      <c r="R16" s="16"/>
      <c r="S16" s="16"/>
      <c r="T16" s="16"/>
      <c r="U16" s="16"/>
      <c r="V16" s="16"/>
      <c r="W16" s="16"/>
      <c r="X16" s="16"/>
      <c r="Y16" s="16"/>
      <c r="Z16" s="16"/>
      <c r="AA16" s="16"/>
      <c r="AB16" s="16"/>
      <c r="AC16" s="18"/>
      <c r="AD16" s="18"/>
      <c r="AE16" s="12"/>
    </row>
    <row r="17" spans="2:31">
      <c r="B17" s="31">
        <v>3</v>
      </c>
      <c r="C17" s="218" t="str">
        <f>'Input data'!C15</f>
        <v>Electrical Safety Analyzer</v>
      </c>
      <c r="D17" s="220"/>
      <c r="E17" s="29" t="str">
        <f>'Input data'!E15</f>
        <v>Fluke Biomedical</v>
      </c>
      <c r="F17" s="29" t="str">
        <f>'Input data'!F15</f>
        <v>ESA612</v>
      </c>
      <c r="G17" s="67">
        <f>'Input data'!G15</f>
        <v>6579027</v>
      </c>
      <c r="H17" s="1"/>
      <c r="I17" s="1"/>
      <c r="P17" s="17"/>
      <c r="Q17" s="16"/>
      <c r="R17" s="16"/>
      <c r="S17" s="16"/>
      <c r="T17" s="16"/>
      <c r="U17" s="16"/>
      <c r="V17" s="16"/>
      <c r="W17" s="16"/>
      <c r="X17" s="16"/>
      <c r="Y17" s="16"/>
      <c r="Z17" s="16"/>
      <c r="AA17" s="16"/>
      <c r="AB17" s="16"/>
      <c r="AC17" s="18"/>
      <c r="AD17" s="18"/>
      <c r="AE17" s="12"/>
    </row>
    <row r="18" spans="2:31">
      <c r="B18" s="31">
        <v>4</v>
      </c>
      <c r="C18" s="218" t="str">
        <f>'Input data'!C16</f>
        <v>Thermohygrometer</v>
      </c>
      <c r="D18" s="220"/>
      <c r="E18" s="29" t="str">
        <f>'Input data'!E16</f>
        <v>Taffware</v>
      </c>
      <c r="F18" s="29" t="str">
        <f>'Input data'!F16</f>
        <v>HTC-1</v>
      </c>
      <c r="G18" s="29" t="str">
        <f>'Input data'!G16</f>
        <v>TH-01</v>
      </c>
      <c r="H18" s="1"/>
      <c r="I18" s="1"/>
      <c r="P18" s="17"/>
      <c r="Q18" s="16"/>
      <c r="R18" s="16"/>
      <c r="S18" s="16"/>
      <c r="T18" s="16"/>
      <c r="U18" s="16"/>
      <c r="V18" s="16"/>
      <c r="W18" s="16"/>
      <c r="X18" s="16"/>
      <c r="Y18" s="16"/>
      <c r="Z18" s="16"/>
      <c r="AA18" s="16"/>
      <c r="AB18" s="16"/>
      <c r="AC18" s="18"/>
      <c r="AD18" s="18"/>
      <c r="AE18" s="12"/>
    </row>
    <row r="19" spans="2:31">
      <c r="H19" s="1"/>
      <c r="I19" s="1"/>
      <c r="P19" s="17"/>
      <c r="Q19" s="16"/>
      <c r="R19" s="16"/>
      <c r="S19" s="16"/>
      <c r="T19" s="16"/>
      <c r="U19" s="16"/>
      <c r="V19" s="16"/>
      <c r="W19" s="16"/>
      <c r="X19" s="16"/>
      <c r="Y19" s="16"/>
      <c r="Z19" s="16"/>
      <c r="AA19" s="16"/>
      <c r="AB19" s="16"/>
      <c r="AC19" s="18"/>
      <c r="AD19" s="18"/>
      <c r="AE19" s="12"/>
    </row>
    <row r="20" spans="2:31">
      <c r="B20" s="1"/>
      <c r="C20" s="21"/>
      <c r="D20" s="6"/>
      <c r="F20" s="23"/>
      <c r="G20" s="6"/>
      <c r="H20" s="1"/>
      <c r="I20" s="1"/>
      <c r="P20" s="17"/>
      <c r="Q20" s="16"/>
      <c r="R20" s="16"/>
      <c r="S20" s="16"/>
      <c r="T20" s="16"/>
      <c r="U20" s="16"/>
      <c r="V20" s="16"/>
      <c r="W20" s="16"/>
      <c r="X20" s="16"/>
      <c r="Y20" s="16"/>
      <c r="Z20" s="16"/>
      <c r="AA20" s="16"/>
      <c r="AB20" s="16"/>
      <c r="AC20" s="18"/>
      <c r="AD20" s="18"/>
      <c r="AE20" s="12"/>
    </row>
    <row r="21" spans="2:31">
      <c r="B21" s="7" t="s">
        <v>26</v>
      </c>
      <c r="D21" s="1"/>
      <c r="F21" s="1"/>
      <c r="G21" s="32"/>
      <c r="H21" s="1"/>
      <c r="I21" s="2"/>
      <c r="P21" s="17"/>
      <c r="Q21" s="18"/>
      <c r="R21" s="12"/>
      <c r="S21" s="45">
        <v>1</v>
      </c>
      <c r="T21" s="45">
        <v>2</v>
      </c>
      <c r="U21" s="45">
        <v>3</v>
      </c>
      <c r="V21" s="45">
        <v>5</v>
      </c>
      <c r="W21" s="45">
        <v>6</v>
      </c>
      <c r="X21" s="45">
        <v>7</v>
      </c>
      <c r="Y21" s="45">
        <v>8</v>
      </c>
      <c r="Z21" s="45">
        <v>9</v>
      </c>
      <c r="AA21" s="45">
        <v>10</v>
      </c>
      <c r="AB21" s="45">
        <v>11</v>
      </c>
      <c r="AC21" s="45">
        <v>12</v>
      </c>
      <c r="AD21" s="45">
        <v>13</v>
      </c>
      <c r="AE21" s="45">
        <v>14</v>
      </c>
    </row>
    <row r="22" spans="2:31">
      <c r="B22" s="1"/>
      <c r="C22" s="33" t="s">
        <v>27</v>
      </c>
      <c r="D22" s="24" t="s">
        <v>28</v>
      </c>
      <c r="E22" s="24" t="s">
        <v>29</v>
      </c>
      <c r="F22" s="26" t="s">
        <v>30</v>
      </c>
      <c r="G22" s="82" t="s">
        <v>131</v>
      </c>
      <c r="H22" s="82" t="s">
        <v>130</v>
      </c>
      <c r="I22" s="82" t="s">
        <v>129</v>
      </c>
      <c r="P22" s="12"/>
      <c r="Q22" s="12"/>
      <c r="R22" s="12"/>
      <c r="S22" s="283" t="s">
        <v>18</v>
      </c>
      <c r="T22" s="283" t="s">
        <v>14</v>
      </c>
      <c r="U22" s="283" t="s">
        <v>128</v>
      </c>
      <c r="V22" s="283" t="s">
        <v>127</v>
      </c>
      <c r="W22" s="285" t="s">
        <v>126</v>
      </c>
      <c r="X22" s="286"/>
      <c r="Y22" s="285" t="s">
        <v>125</v>
      </c>
      <c r="Z22" s="286"/>
      <c r="AA22" s="285" t="s">
        <v>109</v>
      </c>
      <c r="AB22" s="286"/>
      <c r="AC22" s="283" t="s">
        <v>124</v>
      </c>
      <c r="AD22" s="281" t="s">
        <v>123</v>
      </c>
      <c r="AE22" s="282"/>
    </row>
    <row r="23" spans="2:31">
      <c r="B23" s="1"/>
      <c r="C23" s="35" t="s">
        <v>31</v>
      </c>
      <c r="D23" s="36">
        <f>'Input data'!D21</f>
        <v>23.1</v>
      </c>
      <c r="E23" s="36">
        <f>'Input data'!E21</f>
        <v>23.3</v>
      </c>
      <c r="F23" s="37" t="str">
        <f>'[1]Input Data'!F25</f>
        <v>25 ± 5 °C</v>
      </c>
      <c r="G23" s="81">
        <f>AVERAGE(D23:E23)</f>
        <v>23.200000000000003</v>
      </c>
      <c r="H23" s="77">
        <f>VLOOKUP(G18,S24:AE27,12,FALSE)</f>
        <v>23.750549346016644</v>
      </c>
      <c r="I23" s="77">
        <f>VLOOKUP(G18,S24:AE27,9,FALSE)</f>
        <v>0.5</v>
      </c>
      <c r="S23" s="284"/>
      <c r="T23" s="284"/>
      <c r="U23" s="284"/>
      <c r="V23" s="284"/>
      <c r="W23" s="80" t="s">
        <v>122</v>
      </c>
      <c r="X23" s="80" t="s">
        <v>121</v>
      </c>
      <c r="Y23" s="80" t="s">
        <v>122</v>
      </c>
      <c r="Z23" s="80" t="s">
        <v>121</v>
      </c>
      <c r="AA23" s="80" t="s">
        <v>119</v>
      </c>
      <c r="AB23" s="80" t="s">
        <v>120</v>
      </c>
      <c r="AC23" s="284"/>
      <c r="AD23" s="79" t="s">
        <v>119</v>
      </c>
      <c r="AE23" s="79" t="s">
        <v>118</v>
      </c>
    </row>
    <row r="24" spans="2:31">
      <c r="B24" s="1"/>
      <c r="C24" s="35" t="s">
        <v>33</v>
      </c>
      <c r="D24" s="36">
        <f>'Input data'!D22</f>
        <v>53</v>
      </c>
      <c r="E24" s="36">
        <f>'Input data'!E22</f>
        <v>53</v>
      </c>
      <c r="F24" s="37" t="str">
        <f>'[1]Input Data'!F26</f>
        <v>55 % ± 20 %</v>
      </c>
      <c r="G24" s="77">
        <f>AVERAGE(D24:E24)</f>
        <v>53</v>
      </c>
      <c r="H24" s="78">
        <f>VLOOKUP(G18,S24:AE27,13,FALSE)</f>
        <v>53.618909090909092</v>
      </c>
      <c r="I24" s="77">
        <f>VLOOKUP(G18,S24:AE27,10,FALSE)</f>
        <v>2.7</v>
      </c>
      <c r="S24" s="75" t="str">
        <f>[2]ARRAY!D6</f>
        <v>TH-01</v>
      </c>
      <c r="T24" s="60">
        <v>1</v>
      </c>
      <c r="U24" s="74" t="s">
        <v>116</v>
      </c>
      <c r="V24" s="60" t="str">
        <f>[2]ARRAY!H6</f>
        <v>HTC-1</v>
      </c>
      <c r="W24" s="73">
        <f>[2]ARRAY!I6</f>
        <v>-0.3531747919143875</v>
      </c>
      <c r="X24" s="73">
        <f>[2]ARRAY!J6</f>
        <v>1.0389536266349582</v>
      </c>
      <c r="Y24" s="73">
        <f>[2]ARRAY!K6</f>
        <v>-19.598181818181821</v>
      </c>
      <c r="Z24" s="73">
        <f>[2]ARRAY!L6</f>
        <v>1.3814545454545455</v>
      </c>
      <c r="AA24" s="60">
        <f>[2]ARRAY!M6</f>
        <v>0.5</v>
      </c>
      <c r="AB24" s="60">
        <f>[2]ARRAY!N6</f>
        <v>2.7</v>
      </c>
      <c r="AC24" s="72">
        <f>[2]ARRAY!O6</f>
        <v>45799</v>
      </c>
      <c r="AD24" s="71">
        <f>W24+X24*$G$23</f>
        <v>23.750549346016644</v>
      </c>
      <c r="AE24" s="70">
        <f>Y24+Z24*$G$24</f>
        <v>53.618909090909092</v>
      </c>
    </row>
    <row r="25" spans="2:31">
      <c r="B25" s="1"/>
      <c r="C25" s="261" t="s">
        <v>35</v>
      </c>
      <c r="D25" s="36" t="str">
        <f>'[1]Input Data'!D27</f>
        <v>L-N</v>
      </c>
      <c r="E25" s="36">
        <f>'Input data'!E23</f>
        <v>221.1</v>
      </c>
      <c r="F25" s="2" t="s">
        <v>117</v>
      </c>
      <c r="G25" s="6"/>
      <c r="H25" s="76">
        <f>VLOOKUP(G17,ESA!B12:I12,5,FALSE)</f>
        <v>221.23674416456169</v>
      </c>
      <c r="I25" s="41"/>
      <c r="S25" s="75" t="str">
        <f>[2]ARRAY!D7</f>
        <v>TH-02</v>
      </c>
      <c r="T25" s="60">
        <v>2</v>
      </c>
      <c r="U25" s="74" t="s">
        <v>116</v>
      </c>
      <c r="V25" s="60" t="str">
        <f>[2]ARRAY!H7</f>
        <v>HTC-1</v>
      </c>
      <c r="W25" s="73">
        <f>[2]ARRAY!I7</f>
        <v>-3.6218787158141197E-2</v>
      </c>
      <c r="X25" s="73">
        <f>[2]ARRAY!J7</f>
        <v>1.0230439952437573</v>
      </c>
      <c r="Y25" s="73">
        <f>[2]ARRAY!K7</f>
        <v>-20.981818181818163</v>
      </c>
      <c r="Z25" s="73">
        <f>[2]ARRAY!L7</f>
        <v>1.3290909090909087</v>
      </c>
      <c r="AA25" s="60">
        <f>[2]ARRAY!M7</f>
        <v>0.5</v>
      </c>
      <c r="AB25" s="60">
        <f>[2]ARRAY!N7</f>
        <v>3.1</v>
      </c>
      <c r="AC25" s="72">
        <f>[2]ARRAY!O7</f>
        <v>45799</v>
      </c>
      <c r="AD25" s="71">
        <f>W25+X25*$G$23</f>
        <v>23.698401902497032</v>
      </c>
      <c r="AE25" s="70">
        <f>Y25+Z25*$G$24</f>
        <v>49.46</v>
      </c>
    </row>
    <row r="26" spans="2:31">
      <c r="B26" s="1"/>
      <c r="C26" s="262"/>
      <c r="D26" s="36" t="str">
        <f>'[1]Input Data'!D28</f>
        <v>L-G</v>
      </c>
      <c r="E26" s="36">
        <f>'Input data'!E24</f>
        <v>87.5</v>
      </c>
      <c r="F26" s="2" t="s">
        <v>117</v>
      </c>
      <c r="G26" s="6"/>
      <c r="H26" s="34"/>
      <c r="I26" s="41"/>
      <c r="S26" s="75" t="str">
        <f>[2]ARRAY!D8</f>
        <v>TH-03</v>
      </c>
      <c r="T26" s="60">
        <v>3</v>
      </c>
      <c r="U26" s="74" t="s">
        <v>116</v>
      </c>
      <c r="V26" s="60" t="str">
        <f>[2]ARRAY!H8</f>
        <v>HTC-1</v>
      </c>
      <c r="W26" s="73">
        <f>[2]ARRAY!I8</f>
        <v>-0.40318668252080059</v>
      </c>
      <c r="X26" s="73">
        <f>[2]ARRAY!J8</f>
        <v>1.0430321046373363</v>
      </c>
      <c r="Y26" s="73">
        <f>[2]ARRAY!K8</f>
        <v>-19.666363636363634</v>
      </c>
      <c r="Z26" s="73">
        <f>[2]ARRAY!L8</f>
        <v>1.3078181818181818</v>
      </c>
      <c r="AA26" s="60">
        <f>[2]ARRAY!M8</f>
        <v>0.5</v>
      </c>
      <c r="AB26" s="60">
        <f>[2]ARRAY!N8</f>
        <v>2.7</v>
      </c>
      <c r="AC26" s="72">
        <f>[2]ARRAY!O8</f>
        <v>45799</v>
      </c>
      <c r="AD26" s="71">
        <f>W26+X26*$G$23</f>
        <v>23.795158145065404</v>
      </c>
      <c r="AE26" s="70">
        <f>Y26+Z26*$G$24</f>
        <v>49.648000000000003</v>
      </c>
    </row>
    <row r="27" spans="2:31">
      <c r="B27" s="1"/>
      <c r="C27" s="263"/>
      <c r="D27" s="36" t="str">
        <f>'[1]Input Data'!D29</f>
        <v>N-G</v>
      </c>
      <c r="E27" s="36">
        <f>'Input data'!E25</f>
        <v>137.19999999999999</v>
      </c>
      <c r="F27" s="2" t="s">
        <v>117</v>
      </c>
      <c r="G27" s="6"/>
      <c r="H27" s="34"/>
      <c r="I27" s="41"/>
      <c r="S27" s="75" t="str">
        <f>[2]ARRAY!D9</f>
        <v>TH-04</v>
      </c>
      <c r="T27" s="60">
        <v>4</v>
      </c>
      <c r="U27" s="74" t="s">
        <v>116</v>
      </c>
      <c r="V27" s="60" t="str">
        <f>[2]ARRAY!H9</f>
        <v>HTC-1</v>
      </c>
      <c r="W27" s="73">
        <f>[2]ARRAY!I9</f>
        <v>0.19985731272295126</v>
      </c>
      <c r="X27" s="73">
        <f>[2]ARRAY!J9</f>
        <v>0.99894173602853731</v>
      </c>
      <c r="Y27" s="73">
        <f>[2]ARRAY!K9</f>
        <v>-20.049999999999997</v>
      </c>
      <c r="Z27" s="73">
        <f>[2]ARRAY!L9</f>
        <v>1.3190909090909091</v>
      </c>
      <c r="AA27" s="60">
        <f>[2]ARRAY!M9</f>
        <v>0.6</v>
      </c>
      <c r="AB27" s="60">
        <f>[2]ARRAY!N9</f>
        <v>2.9</v>
      </c>
      <c r="AC27" s="72">
        <f>[2]ARRAY!O9</f>
        <v>45799</v>
      </c>
      <c r="AD27" s="71">
        <f>W27+X27*$G$23</f>
        <v>23.375305588585018</v>
      </c>
      <c r="AE27" s="70">
        <f>Y27+Z27*$G$24</f>
        <v>49.86181818181818</v>
      </c>
    </row>
    <row r="28" spans="2:31">
      <c r="B28" s="1"/>
      <c r="C28" s="6"/>
      <c r="D28" s="34"/>
      <c r="E28" s="34"/>
      <c r="F28" s="6"/>
      <c r="G28" s="6"/>
      <c r="H28" s="41"/>
      <c r="I28" s="41"/>
    </row>
    <row r="29" spans="2:31">
      <c r="B29" s="1"/>
      <c r="C29" s="6"/>
      <c r="D29" s="23"/>
      <c r="E29" s="6"/>
      <c r="F29" s="6"/>
      <c r="G29" s="6"/>
      <c r="H29" s="1"/>
      <c r="I29" s="1"/>
    </row>
    <row r="30" spans="2:31">
      <c r="B30" s="21" t="s">
        <v>40</v>
      </c>
      <c r="D30" s="23"/>
      <c r="E30" s="6"/>
      <c r="F30" s="6"/>
      <c r="G30" s="6"/>
      <c r="H30" s="1"/>
      <c r="I30" s="1"/>
    </row>
    <row r="31" spans="2:31">
      <c r="B31" s="21"/>
      <c r="C31" s="24" t="s">
        <v>41</v>
      </c>
      <c r="D31" s="250" t="s">
        <v>42</v>
      </c>
      <c r="E31" s="265"/>
      <c r="F31" s="251"/>
      <c r="G31" s="250" t="s">
        <v>43</v>
      </c>
      <c r="H31" s="251"/>
      <c r="I31" s="26" t="s">
        <v>108</v>
      </c>
      <c r="J31" s="69" t="s">
        <v>115</v>
      </c>
      <c r="K31" s="68" t="s">
        <v>106</v>
      </c>
    </row>
    <row r="32" spans="2:31">
      <c r="B32" s="21"/>
      <c r="C32" s="270" t="str">
        <f>'Input data'!C30</f>
        <v>Badan Permukaan</v>
      </c>
      <c r="D32" s="272" t="str">
        <f>'Input data'!D30</f>
        <v>Selungkup utuh, bersih, terpasang ketat satu dan yang lainnya serta tidak ada bekas tertimpa cairan ataupun gangguan</v>
      </c>
      <c r="E32" s="273"/>
      <c r="F32" s="274"/>
      <c r="G32" s="243">
        <f>'Input data'!G30</f>
        <v>1</v>
      </c>
      <c r="H32" s="43" t="s">
        <v>46</v>
      </c>
      <c r="I32" s="264" t="str">
        <f>IF(G32=1,"LULUS","TIDAK LULUS")</f>
        <v>LULUS</v>
      </c>
      <c r="J32" s="292">
        <f>(COUNTIF(I32:I41,"LULUS")/(COUNTA(I32:I41))*100%)</f>
        <v>1</v>
      </c>
      <c r="K32" s="295">
        <f>IF(J32&gt;=70%,10,0)</f>
        <v>10</v>
      </c>
    </row>
    <row r="33" spans="2:15">
      <c r="B33" s="21"/>
      <c r="C33" s="271"/>
      <c r="D33" s="275"/>
      <c r="E33" s="276"/>
      <c r="F33" s="277"/>
      <c r="G33" s="244"/>
      <c r="H33" s="43" t="s">
        <v>47</v>
      </c>
      <c r="I33" s="264"/>
      <c r="J33" s="293"/>
      <c r="K33" s="296"/>
    </row>
    <row r="34" spans="2:15" ht="15" customHeight="1">
      <c r="B34" s="21"/>
      <c r="C34" s="270" t="str">
        <f>'Input data'!C32</f>
        <v>Kotak kontak alat</v>
      </c>
      <c r="D34" s="272" t="str">
        <f>'Input data'!D32</f>
        <v>periksa apakah ada gangguan pada kotak kontak (AC-Power). Gerak-gerakkan kotak kontak untuk memastikan keamanannya. 
Goyang-goyangkan kotak kontak untuk memastikan tidak ada baut atau mur yang longgar.</v>
      </c>
      <c r="E34" s="273"/>
      <c r="F34" s="274"/>
      <c r="G34" s="243">
        <f>'Input data'!G32</f>
        <v>1</v>
      </c>
      <c r="H34" s="43" t="s">
        <v>46</v>
      </c>
      <c r="I34" s="264" t="str">
        <f>IF(G34=1,"LULUS","TIDAK LULUS")</f>
        <v>LULUS</v>
      </c>
      <c r="J34" s="293"/>
      <c r="K34" s="296"/>
    </row>
    <row r="35" spans="2:15" ht="34.5" customHeight="1">
      <c r="B35" s="21"/>
      <c r="C35" s="271"/>
      <c r="D35" s="275"/>
      <c r="E35" s="276"/>
      <c r="F35" s="277"/>
      <c r="G35" s="244"/>
      <c r="H35" s="43" t="s">
        <v>47</v>
      </c>
      <c r="I35" s="264"/>
      <c r="J35" s="293"/>
      <c r="K35" s="296"/>
    </row>
    <row r="36" spans="2:15" ht="15" customHeight="1">
      <c r="B36" s="21"/>
      <c r="C36" s="270" t="str">
        <f>'Input data'!C34</f>
        <v>Kabel catu utama</v>
      </c>
      <c r="D36" s="272" t="str">
        <f>'Input data'!D34</f>
        <v>periksa kabel, apakah terlihat ada kerusakan atau bagian isolasi yang terkelupas.</v>
      </c>
      <c r="E36" s="273"/>
      <c r="F36" s="274"/>
      <c r="G36" s="243">
        <f>'Input data'!G34</f>
        <v>1</v>
      </c>
      <c r="H36" s="43" t="s">
        <v>46</v>
      </c>
      <c r="I36" s="264" t="str">
        <f>IF(G36=1,"LULUS","TIDAK LULUS")</f>
        <v>LULUS</v>
      </c>
      <c r="J36" s="293"/>
      <c r="K36" s="296"/>
    </row>
    <row r="37" spans="2:15" ht="28.5" customHeight="1">
      <c r="B37" s="21"/>
      <c r="C37" s="271"/>
      <c r="D37" s="275"/>
      <c r="E37" s="276"/>
      <c r="F37" s="277"/>
      <c r="G37" s="244"/>
      <c r="H37" s="43" t="s">
        <v>47</v>
      </c>
      <c r="I37" s="264"/>
      <c r="J37" s="293"/>
      <c r="K37" s="296"/>
    </row>
    <row r="38" spans="2:15" ht="15" customHeight="1">
      <c r="B38" s="21"/>
      <c r="C38" s="270" t="str">
        <f>'Input data'!C36</f>
        <v>Tombol, Saklar dan pengaman</v>
      </c>
      <c r="D38" s="272" t="str">
        <f>'Input data'!D36</f>
        <v>sebelum mempergunakan/mengubah-ubah tombol kontrol, periksa posisinya, jika terlihat tidak berada pada posisinya (periksa dengan menggunakan mode pemeriksaan standar). Bandingkan dengan posisi control. Ingat peraturan tersebut dan jangan lupa untuk mengembalikan pada setting awal jika sudah selesai menggunakan.</v>
      </c>
      <c r="E38" s="273"/>
      <c r="F38" s="274"/>
      <c r="G38" s="243">
        <f>'Input data'!G36</f>
        <v>1</v>
      </c>
      <c r="H38" s="43" t="s">
        <v>46</v>
      </c>
      <c r="I38" s="264" t="str">
        <f>IF(G38=1,"LULUS","TIDAK LULUS")</f>
        <v>LULUS</v>
      </c>
      <c r="J38" s="293"/>
      <c r="K38" s="296"/>
    </row>
    <row r="39" spans="2:15" ht="58.5" customHeight="1">
      <c r="B39" s="44"/>
      <c r="C39" s="271"/>
      <c r="D39" s="275"/>
      <c r="E39" s="276"/>
      <c r="F39" s="277"/>
      <c r="G39" s="244"/>
      <c r="H39" s="43" t="s">
        <v>47</v>
      </c>
      <c r="I39" s="264"/>
      <c r="J39" s="293"/>
      <c r="K39" s="296"/>
    </row>
    <row r="40" spans="2:15" ht="15" customHeight="1">
      <c r="B40" s="23"/>
      <c r="C40" s="270" t="str">
        <f>'Input data'!C38</f>
        <v>Tampilan indikator</v>
      </c>
      <c r="D40" s="272" t="str">
        <f>'Input data'!D38</f>
        <v>Pastikan lampu  indikator dan bagian tampilan digital berfungsi seluruhnya</v>
      </c>
      <c r="E40" s="273"/>
      <c r="F40" s="274"/>
      <c r="G40" s="243">
        <f>'Input data'!G38</f>
        <v>1</v>
      </c>
      <c r="H40" s="43" t="s">
        <v>46</v>
      </c>
      <c r="I40" s="264" t="str">
        <f>IF(G40=1,"LULUS","TIDAK LULUS")</f>
        <v>LULUS</v>
      </c>
      <c r="J40" s="293"/>
      <c r="K40" s="296"/>
    </row>
    <row r="41" spans="2:15">
      <c r="B41" s="23"/>
      <c r="C41" s="271"/>
      <c r="D41" s="275"/>
      <c r="E41" s="276"/>
      <c r="F41" s="277"/>
      <c r="G41" s="244"/>
      <c r="H41" s="43" t="s">
        <v>47</v>
      </c>
      <c r="I41" s="264"/>
      <c r="J41" s="294"/>
      <c r="K41" s="297"/>
    </row>
    <row r="42" spans="2:15">
      <c r="B42" s="1"/>
      <c r="C42" s="2"/>
      <c r="D42" s="2"/>
      <c r="E42" s="6"/>
      <c r="F42" s="6"/>
      <c r="G42" s="6"/>
      <c r="H42" s="1"/>
      <c r="I42" s="1"/>
    </row>
    <row r="43" spans="2:15">
      <c r="B43" s="21" t="s">
        <v>56</v>
      </c>
      <c r="D43" s="2"/>
      <c r="E43" s="6"/>
      <c r="F43" s="6"/>
      <c r="G43" s="6"/>
      <c r="H43" s="1"/>
      <c r="I43" s="1"/>
    </row>
    <row r="44" spans="2:15" s="46" customFormat="1" ht="14.25">
      <c r="B44" s="233" t="s">
        <v>14</v>
      </c>
      <c r="C44" s="234" t="s">
        <v>73</v>
      </c>
      <c r="D44" s="235"/>
      <c r="E44" s="236"/>
      <c r="F44" s="233" t="s">
        <v>74</v>
      </c>
      <c r="G44" s="290" t="s">
        <v>114</v>
      </c>
      <c r="H44" s="240" t="s">
        <v>75</v>
      </c>
      <c r="I44" s="240"/>
      <c r="J44" s="233" t="s">
        <v>76</v>
      </c>
      <c r="K44" s="233"/>
      <c r="L44" s="233"/>
      <c r="M44" s="289" t="s">
        <v>113</v>
      </c>
      <c r="N44" s="287" t="s">
        <v>107</v>
      </c>
      <c r="O44" s="217"/>
    </row>
    <row r="45" spans="2:15" s="46" customFormat="1" ht="14.25">
      <c r="B45" s="233"/>
      <c r="C45" s="237"/>
      <c r="D45" s="238"/>
      <c r="E45" s="239"/>
      <c r="F45" s="233"/>
      <c r="G45" s="291"/>
      <c r="H45" s="26" t="s">
        <v>77</v>
      </c>
      <c r="I45" s="26" t="s">
        <v>78</v>
      </c>
      <c r="J45" s="233"/>
      <c r="K45" s="233"/>
      <c r="L45" s="233"/>
      <c r="M45" s="289"/>
      <c r="N45" s="288"/>
      <c r="O45" s="217"/>
    </row>
    <row r="46" spans="2:15" ht="30" customHeight="1">
      <c r="B46" s="27">
        <v>1</v>
      </c>
      <c r="C46" s="208" t="s">
        <v>79</v>
      </c>
      <c r="D46" s="209"/>
      <c r="E46" s="210"/>
      <c r="F46" s="50">
        <f>'Input data'!F51</f>
        <v>0.23100000000000001</v>
      </c>
      <c r="G46" s="47">
        <f>VLOOKUP(G17,ESA!B5:Q5,13,FALSE)+VLOOKUP(G17,ESA!B5:Q5,14,FALSE)*F46</f>
        <v>0.22263428605574145</v>
      </c>
      <c r="H46" s="37" t="s">
        <v>80</v>
      </c>
      <c r="I46" s="37"/>
      <c r="J46" s="48" t="s">
        <v>81</v>
      </c>
      <c r="K46" s="49">
        <v>0.3</v>
      </c>
      <c r="L46" s="48" t="s">
        <v>82</v>
      </c>
      <c r="M46" s="66" t="str">
        <f>IF(G46&lt;K46,"Aman","Tidak Aman")</f>
        <v>Aman</v>
      </c>
      <c r="N46" s="298">
        <f>IF(COUNTIF((M46:M48),"Aman")&lt;3,0,40)</f>
        <v>40</v>
      </c>
      <c r="O46" s="217"/>
    </row>
    <row r="47" spans="2:15" ht="21" customHeight="1">
      <c r="B47" s="31">
        <v>2</v>
      </c>
      <c r="C47" s="211" t="s">
        <v>83</v>
      </c>
      <c r="D47" s="212"/>
      <c r="E47" s="213"/>
      <c r="F47" s="50" t="str">
        <f>'Input data'!F52</f>
        <v>OR</v>
      </c>
      <c r="G47" s="47" t="str">
        <f>F47</f>
        <v>OR</v>
      </c>
      <c r="H47" s="37" t="s">
        <v>80</v>
      </c>
      <c r="I47" s="37"/>
      <c r="J47" s="51" t="s">
        <v>85</v>
      </c>
      <c r="K47" s="51">
        <v>2</v>
      </c>
      <c r="L47" s="51" t="s">
        <v>86</v>
      </c>
      <c r="M47" s="66" t="str">
        <f>IF(G47&gt;K47,"Aman","Tidak Aman")</f>
        <v>Aman</v>
      </c>
      <c r="N47" s="299"/>
      <c r="O47" s="217"/>
    </row>
    <row r="48" spans="2:15">
      <c r="B48" s="31">
        <v>3</v>
      </c>
      <c r="C48" s="211" t="s">
        <v>87</v>
      </c>
      <c r="D48" s="212"/>
      <c r="E48" s="213"/>
      <c r="F48" s="50">
        <f>'Input data'!F53</f>
        <v>0.9</v>
      </c>
      <c r="G48" s="47">
        <f>VLOOKUP(G17,ESA!B5:Q5,13,FALSE)+VLOOKUP(G17,ESA!B5:Q5,14,FALSE)*F48</f>
        <v>0.89197493568702391</v>
      </c>
      <c r="H48" s="37" t="s">
        <v>80</v>
      </c>
      <c r="I48" s="37"/>
      <c r="J48" s="51" t="s">
        <v>81</v>
      </c>
      <c r="K48" s="51">
        <v>500</v>
      </c>
      <c r="L48" s="51" t="s">
        <v>88</v>
      </c>
      <c r="M48" s="65" t="str">
        <f>IF(G48&lt;K48,"Aman","Tidak Aman")</f>
        <v>Aman</v>
      </c>
      <c r="N48" s="300"/>
      <c r="O48" s="217"/>
    </row>
    <row r="49" spans="2:18">
      <c r="B49" s="15"/>
      <c r="C49" s="15" t="s">
        <v>112</v>
      </c>
      <c r="D49" s="15"/>
      <c r="E49" s="15"/>
      <c r="F49" s="15"/>
      <c r="G49" s="15"/>
      <c r="H49" s="15"/>
      <c r="I49" s="17"/>
      <c r="J49" s="16"/>
      <c r="K49" s="12"/>
    </row>
    <row r="50" spans="2:18">
      <c r="B50" s="15"/>
      <c r="C50" s="15"/>
      <c r="D50" s="15"/>
      <c r="E50" s="15"/>
      <c r="F50" s="15"/>
      <c r="G50" s="15"/>
      <c r="H50" s="15"/>
      <c r="I50" s="17"/>
      <c r="J50" s="16"/>
      <c r="K50" s="12"/>
    </row>
    <row r="51" spans="2:18">
      <c r="B51" s="46" t="s">
        <v>89</v>
      </c>
    </row>
    <row r="52" spans="2:18">
      <c r="B52" s="46"/>
      <c r="C52" s="202" t="s">
        <v>73</v>
      </c>
      <c r="D52" s="202"/>
      <c r="E52" s="278" t="s">
        <v>105</v>
      </c>
      <c r="F52" s="279"/>
      <c r="G52" s="280"/>
      <c r="H52" s="304" t="s">
        <v>111</v>
      </c>
      <c r="I52" s="305"/>
      <c r="J52" s="305"/>
      <c r="K52" s="306" t="s">
        <v>130</v>
      </c>
      <c r="L52" s="308" t="s">
        <v>131</v>
      </c>
      <c r="M52" s="310" t="s">
        <v>172</v>
      </c>
      <c r="N52" s="311" t="s">
        <v>110</v>
      </c>
      <c r="O52" s="311" t="s">
        <v>109</v>
      </c>
      <c r="P52" s="312" t="s">
        <v>108</v>
      </c>
      <c r="Q52" s="301" t="s">
        <v>107</v>
      </c>
      <c r="R52" s="301" t="s">
        <v>106</v>
      </c>
    </row>
    <row r="53" spans="2:18">
      <c r="B53" s="46"/>
      <c r="C53" s="202"/>
      <c r="D53" s="202"/>
      <c r="E53" s="110" t="s">
        <v>62</v>
      </c>
      <c r="F53" s="110" t="s">
        <v>63</v>
      </c>
      <c r="G53" s="110" t="s">
        <v>90</v>
      </c>
      <c r="H53" s="106" t="s">
        <v>62</v>
      </c>
      <c r="I53" s="106" t="s">
        <v>63</v>
      </c>
      <c r="J53" s="106" t="s">
        <v>90</v>
      </c>
      <c r="K53" s="307"/>
      <c r="L53" s="309"/>
      <c r="M53" s="310"/>
      <c r="N53" s="311"/>
      <c r="O53" s="311"/>
      <c r="P53" s="313"/>
      <c r="Q53" s="301"/>
      <c r="R53" s="301"/>
    </row>
    <row r="54" spans="2:18">
      <c r="B54" s="46"/>
      <c r="C54" s="202" t="s">
        <v>137</v>
      </c>
      <c r="D54" s="202"/>
      <c r="E54" s="94">
        <f>'Input data'!D59</f>
        <v>1</v>
      </c>
      <c r="F54" s="94">
        <f>'Input data'!E59</f>
        <v>1</v>
      </c>
      <c r="G54" s="94">
        <f>'Input data'!F59</f>
        <v>2</v>
      </c>
      <c r="H54" s="175">
        <f>E54</f>
        <v>1</v>
      </c>
      <c r="I54" s="175">
        <f>F54</f>
        <v>1</v>
      </c>
      <c r="J54" s="175">
        <f>G54</f>
        <v>2</v>
      </c>
      <c r="K54" s="107">
        <f>AVERAGE(H54:J54)</f>
        <v>1.3333333333333333</v>
      </c>
      <c r="L54" s="107">
        <f t="shared" ref="L54:L63" si="0">AVERAGE(E54:G54)</f>
        <v>1.3333333333333333</v>
      </c>
      <c r="M54" s="108">
        <f t="shared" ref="M54:M63" si="1">STDEV(E54:G54)</f>
        <v>0.57735026918962584</v>
      </c>
      <c r="N54" s="109">
        <f>M54/SQRT(5)</f>
        <v>0.25819888974716115</v>
      </c>
      <c r="O54" s="109">
        <f>budget!K12</f>
        <v>2.0542602567605219</v>
      </c>
      <c r="P54" s="93" t="s">
        <v>301</v>
      </c>
      <c r="Q54" s="302">
        <f>COUNTIF(P54:P63,"LULUS")/(COUNTA(P54:P63))*100%</f>
        <v>1</v>
      </c>
      <c r="R54" s="303">
        <f>IF(Q54&gt;=70%,100,0)</f>
        <v>100</v>
      </c>
    </row>
    <row r="55" spans="2:18">
      <c r="B55" s="46"/>
      <c r="C55" s="202" t="s">
        <v>138</v>
      </c>
      <c r="D55" s="202"/>
      <c r="E55" s="94">
        <f>'Input data'!D60</f>
        <v>2</v>
      </c>
      <c r="F55" s="94">
        <f>'Input data'!E60</f>
        <v>2</v>
      </c>
      <c r="G55" s="94">
        <f>'Input data'!F60</f>
        <v>3</v>
      </c>
      <c r="H55" s="175">
        <f t="shared" ref="H55:J63" si="2">E55</f>
        <v>2</v>
      </c>
      <c r="I55" s="175">
        <f t="shared" si="2"/>
        <v>2</v>
      </c>
      <c r="J55" s="175">
        <f t="shared" si="2"/>
        <v>3</v>
      </c>
      <c r="K55" s="107">
        <f t="shared" ref="K55:K63" si="3">AVERAGE(H55:J55)</f>
        <v>2.3333333333333335</v>
      </c>
      <c r="L55" s="107">
        <f t="shared" si="0"/>
        <v>2.3333333333333335</v>
      </c>
      <c r="M55" s="108">
        <f t="shared" si="1"/>
        <v>0.57735026918962629</v>
      </c>
      <c r="N55" s="109">
        <f>M55/SQRT(5)</f>
        <v>0.25819888974716132</v>
      </c>
      <c r="O55" s="109">
        <f>budget!W12</f>
        <v>2.0542602567605233</v>
      </c>
      <c r="P55" s="95" t="s">
        <v>301</v>
      </c>
      <c r="Q55" s="302"/>
      <c r="R55" s="303"/>
    </row>
    <row r="56" spans="2:18">
      <c r="B56" s="46"/>
      <c r="C56" s="202" t="s">
        <v>139</v>
      </c>
      <c r="D56" s="202"/>
      <c r="E56" s="94">
        <f>'Input data'!D61</f>
        <v>4</v>
      </c>
      <c r="F56" s="94">
        <f>'Input data'!E61</f>
        <v>4</v>
      </c>
      <c r="G56" s="94">
        <f>'Input data'!F61</f>
        <v>3</v>
      </c>
      <c r="H56" s="175">
        <f t="shared" si="2"/>
        <v>4</v>
      </c>
      <c r="I56" s="175">
        <f t="shared" si="2"/>
        <v>4</v>
      </c>
      <c r="J56" s="175">
        <f t="shared" si="2"/>
        <v>3</v>
      </c>
      <c r="K56" s="107">
        <f t="shared" si="3"/>
        <v>3.6666666666666665</v>
      </c>
      <c r="L56" s="107">
        <f t="shared" si="0"/>
        <v>3.6666666666666665</v>
      </c>
      <c r="M56" s="108">
        <f t="shared" si="1"/>
        <v>0.57735026918962473</v>
      </c>
      <c r="N56" s="109">
        <f>M56/SQRT(5)</f>
        <v>0.25819888974716065</v>
      </c>
      <c r="O56" s="109">
        <f>budget!K25</f>
        <v>0.87612970180212635</v>
      </c>
      <c r="P56" s="95" t="s">
        <v>301</v>
      </c>
      <c r="Q56" s="302"/>
      <c r="R56" s="303"/>
    </row>
    <row r="57" spans="2:18">
      <c r="B57" s="46"/>
      <c r="C57" s="202" t="s">
        <v>140</v>
      </c>
      <c r="D57" s="202"/>
      <c r="E57" s="94">
        <f>'Input data'!D62</f>
        <v>1</v>
      </c>
      <c r="F57" s="94">
        <f>'Input data'!E62</f>
        <v>1</v>
      </c>
      <c r="G57" s="94">
        <f>'Input data'!F62</f>
        <v>3</v>
      </c>
      <c r="H57" s="175">
        <f t="shared" si="2"/>
        <v>1</v>
      </c>
      <c r="I57" s="175">
        <f t="shared" si="2"/>
        <v>1</v>
      </c>
      <c r="J57" s="175">
        <f t="shared" si="2"/>
        <v>3</v>
      </c>
      <c r="K57" s="107">
        <f t="shared" si="3"/>
        <v>1.6666666666666667</v>
      </c>
      <c r="L57" s="107">
        <f t="shared" si="0"/>
        <v>1.6666666666666667</v>
      </c>
      <c r="M57" s="108">
        <f t="shared" si="1"/>
        <v>1.1547005383792515</v>
      </c>
      <c r="N57" s="109">
        <f>M57/SQRT(5)</f>
        <v>0.5163977794943222</v>
      </c>
      <c r="O57" s="109">
        <f>budget!W25</f>
        <v>5.1211810870633858</v>
      </c>
      <c r="P57" s="95" t="s">
        <v>301</v>
      </c>
      <c r="Q57" s="302"/>
      <c r="R57" s="303"/>
    </row>
    <row r="58" spans="2:18">
      <c r="B58" s="46"/>
      <c r="C58" s="202" t="s">
        <v>141</v>
      </c>
      <c r="D58" s="202"/>
      <c r="E58" s="94">
        <f>'Input data'!D63</f>
        <v>4</v>
      </c>
      <c r="F58" s="94">
        <f>'Input data'!E63</f>
        <v>4</v>
      </c>
      <c r="G58" s="94">
        <f>'Input data'!F63</f>
        <v>5</v>
      </c>
      <c r="H58" s="175">
        <f t="shared" si="2"/>
        <v>4</v>
      </c>
      <c r="I58" s="175">
        <f t="shared" si="2"/>
        <v>4</v>
      </c>
      <c r="J58" s="175">
        <f t="shared" si="2"/>
        <v>5</v>
      </c>
      <c r="K58" s="107">
        <f t="shared" si="3"/>
        <v>4.333333333333333</v>
      </c>
      <c r="L58" s="107">
        <f t="shared" si="0"/>
        <v>4.333333333333333</v>
      </c>
      <c r="M58" s="108">
        <f t="shared" si="1"/>
        <v>0.57735026918962473</v>
      </c>
      <c r="N58" s="109">
        <f t="shared" ref="N58:N63" si="4">M58/SQRT(5)</f>
        <v>0.25819888974716065</v>
      </c>
      <c r="O58" s="109">
        <f>budget!K38</f>
        <v>2.0542602567605188</v>
      </c>
      <c r="P58" s="95" t="s">
        <v>301</v>
      </c>
      <c r="Q58" s="302"/>
      <c r="R58" s="303"/>
    </row>
    <row r="59" spans="2:18">
      <c r="B59" s="46"/>
      <c r="C59" s="202" t="s">
        <v>142</v>
      </c>
      <c r="D59" s="202"/>
      <c r="E59" s="94">
        <f>'Input data'!D64</f>
        <v>4</v>
      </c>
      <c r="F59" s="94">
        <f>'Input data'!E64</f>
        <v>4</v>
      </c>
      <c r="G59" s="94">
        <f>'Input data'!F64</f>
        <v>5</v>
      </c>
      <c r="H59" s="175">
        <f t="shared" si="2"/>
        <v>4</v>
      </c>
      <c r="I59" s="175">
        <f t="shared" si="2"/>
        <v>4</v>
      </c>
      <c r="J59" s="175">
        <f t="shared" si="2"/>
        <v>5</v>
      </c>
      <c r="K59" s="107">
        <f t="shared" si="3"/>
        <v>4.333333333333333</v>
      </c>
      <c r="L59" s="107">
        <f t="shared" si="0"/>
        <v>4.333333333333333</v>
      </c>
      <c r="M59" s="108">
        <f t="shared" si="1"/>
        <v>0.57735026918962473</v>
      </c>
      <c r="N59" s="109">
        <f t="shared" si="4"/>
        <v>0.25819888974716065</v>
      </c>
      <c r="O59" s="109">
        <f>budget!W38</f>
        <v>2.0542602567605188</v>
      </c>
      <c r="P59" s="95" t="s">
        <v>301</v>
      </c>
      <c r="Q59" s="302"/>
      <c r="R59" s="303"/>
    </row>
    <row r="60" spans="2:18">
      <c r="B60" s="46"/>
      <c r="C60" s="202" t="s">
        <v>143</v>
      </c>
      <c r="D60" s="202"/>
      <c r="E60" s="94">
        <f>'Input data'!D65</f>
        <v>4</v>
      </c>
      <c r="F60" s="94">
        <f>'Input data'!E65</f>
        <v>4</v>
      </c>
      <c r="G60" s="94">
        <f>'Input data'!F65</f>
        <v>5</v>
      </c>
      <c r="H60" s="175">
        <f t="shared" si="2"/>
        <v>4</v>
      </c>
      <c r="I60" s="175">
        <f t="shared" si="2"/>
        <v>4</v>
      </c>
      <c r="J60" s="175">
        <f t="shared" si="2"/>
        <v>5</v>
      </c>
      <c r="K60" s="107">
        <f t="shared" si="3"/>
        <v>4.333333333333333</v>
      </c>
      <c r="L60" s="107">
        <f t="shared" si="0"/>
        <v>4.333333333333333</v>
      </c>
      <c r="M60" s="108">
        <f t="shared" si="1"/>
        <v>0.57735026918962473</v>
      </c>
      <c r="N60" s="109">
        <f t="shared" si="4"/>
        <v>0.25819888974716065</v>
      </c>
      <c r="O60" s="109">
        <f>budget!K51</f>
        <v>2.0542602567605188</v>
      </c>
      <c r="P60" s="95" t="s">
        <v>301</v>
      </c>
      <c r="Q60" s="302"/>
      <c r="R60" s="303"/>
    </row>
    <row r="61" spans="2:18">
      <c r="B61" s="46"/>
      <c r="C61" s="202" t="s">
        <v>144</v>
      </c>
      <c r="D61" s="202"/>
      <c r="E61" s="94">
        <f>'Input data'!D66</f>
        <v>4</v>
      </c>
      <c r="F61" s="94">
        <f>'Input data'!E66</f>
        <v>4</v>
      </c>
      <c r="G61" s="94">
        <f>'Input data'!F66</f>
        <v>5</v>
      </c>
      <c r="H61" s="175">
        <f t="shared" si="2"/>
        <v>4</v>
      </c>
      <c r="I61" s="175">
        <f t="shared" si="2"/>
        <v>4</v>
      </c>
      <c r="J61" s="175">
        <f t="shared" si="2"/>
        <v>5</v>
      </c>
      <c r="K61" s="107">
        <f t="shared" si="3"/>
        <v>4.333333333333333</v>
      </c>
      <c r="L61" s="107">
        <f t="shared" si="0"/>
        <v>4.333333333333333</v>
      </c>
      <c r="M61" s="108">
        <f t="shared" si="1"/>
        <v>0.57735026918962473</v>
      </c>
      <c r="N61" s="109">
        <f t="shared" si="4"/>
        <v>0.25819888974716065</v>
      </c>
      <c r="O61" s="109">
        <f>budget!W51</f>
        <v>2.0542602567605188</v>
      </c>
      <c r="P61" s="95" t="s">
        <v>301</v>
      </c>
      <c r="Q61" s="302"/>
      <c r="R61" s="303"/>
    </row>
    <row r="62" spans="2:18">
      <c r="B62" s="46"/>
      <c r="C62" s="202" t="s">
        <v>145</v>
      </c>
      <c r="D62" s="202"/>
      <c r="E62" s="94">
        <f>'Input data'!D67</f>
        <v>4</v>
      </c>
      <c r="F62" s="94">
        <f>'Input data'!E67</f>
        <v>4</v>
      </c>
      <c r="G62" s="94">
        <f>'Input data'!F67</f>
        <v>5</v>
      </c>
      <c r="H62" s="175">
        <f t="shared" si="2"/>
        <v>4</v>
      </c>
      <c r="I62" s="175">
        <f t="shared" si="2"/>
        <v>4</v>
      </c>
      <c r="J62" s="175">
        <f t="shared" si="2"/>
        <v>5</v>
      </c>
      <c r="K62" s="107">
        <f t="shared" si="3"/>
        <v>4.333333333333333</v>
      </c>
      <c r="L62" s="107">
        <f t="shared" si="0"/>
        <v>4.333333333333333</v>
      </c>
      <c r="M62" s="108">
        <f t="shared" si="1"/>
        <v>0.57735026918962473</v>
      </c>
      <c r="N62" s="109">
        <f t="shared" si="4"/>
        <v>0.25819888974716065</v>
      </c>
      <c r="O62" s="109">
        <f>budget!K64</f>
        <v>2.0542602567605188</v>
      </c>
      <c r="P62" s="95" t="s">
        <v>301</v>
      </c>
      <c r="Q62" s="302"/>
      <c r="R62" s="303"/>
    </row>
    <row r="63" spans="2:18">
      <c r="B63" s="46"/>
      <c r="C63" s="207" t="s">
        <v>146</v>
      </c>
      <c r="D63" s="207"/>
      <c r="E63" s="94">
        <f>'Input data'!D68</f>
        <v>4</v>
      </c>
      <c r="F63" s="94">
        <f>'Input data'!E68</f>
        <v>4</v>
      </c>
      <c r="G63" s="94">
        <f>'Input data'!F68</f>
        <v>5</v>
      </c>
      <c r="H63" s="175">
        <f t="shared" si="2"/>
        <v>4</v>
      </c>
      <c r="I63" s="175">
        <f t="shared" si="2"/>
        <v>4</v>
      </c>
      <c r="J63" s="175">
        <f t="shared" si="2"/>
        <v>5</v>
      </c>
      <c r="K63" s="107">
        <f t="shared" si="3"/>
        <v>4.333333333333333</v>
      </c>
      <c r="L63" s="107">
        <f t="shared" si="0"/>
        <v>4.333333333333333</v>
      </c>
      <c r="M63" s="108">
        <f t="shared" si="1"/>
        <v>0.57735026918962473</v>
      </c>
      <c r="N63" s="109">
        <f t="shared" si="4"/>
        <v>0.25819888974716065</v>
      </c>
      <c r="O63" s="109">
        <f>budget!W64</f>
        <v>2.0542602567605188</v>
      </c>
      <c r="P63" s="95" t="s">
        <v>301</v>
      </c>
      <c r="Q63" s="302"/>
      <c r="R63" s="303"/>
    </row>
    <row r="64" spans="2:18" ht="18" customHeight="1">
      <c r="B64" s="46"/>
    </row>
    <row r="65" spans="2:20" ht="18" customHeight="1">
      <c r="B65" s="46"/>
      <c r="C65" s="267" t="s">
        <v>299</v>
      </c>
      <c r="D65" s="267"/>
      <c r="E65" s="64">
        <f>IF(R54&gt;=100,50,0)</f>
        <v>50</v>
      </c>
    </row>
    <row r="66" spans="2:20" ht="18" customHeight="1">
      <c r="B66" s="46"/>
      <c r="C66" s="267" t="s">
        <v>300</v>
      </c>
      <c r="D66" s="267"/>
      <c r="E66" s="70">
        <f>K32+N46+E65</f>
        <v>100</v>
      </c>
    </row>
    <row r="67" spans="2:20">
      <c r="B67" s="15"/>
      <c r="C67" s="15"/>
      <c r="D67" s="15"/>
      <c r="E67" s="15"/>
      <c r="F67" s="15"/>
      <c r="G67" s="15"/>
      <c r="H67" s="15"/>
      <c r="I67" s="17"/>
      <c r="J67" s="16"/>
      <c r="K67" s="12"/>
    </row>
    <row r="68" spans="2:20">
      <c r="B68" s="56" t="s">
        <v>100</v>
      </c>
      <c r="C68" s="56"/>
      <c r="Q68" s="63"/>
      <c r="T68" s="57"/>
    </row>
    <row r="69" spans="2:20">
      <c r="B69" s="58"/>
      <c r="C69" s="56" t="s">
        <v>101</v>
      </c>
      <c r="Q69" s="63"/>
      <c r="T69" s="57"/>
    </row>
    <row r="70" spans="2:20">
      <c r="B70" s="59"/>
      <c r="C70" s="56" t="s">
        <v>102</v>
      </c>
      <c r="Q70" s="63"/>
    </row>
    <row r="71" spans="2:20">
      <c r="R71" s="63"/>
      <c r="S71" s="63"/>
    </row>
    <row r="72" spans="2:20">
      <c r="Q72" s="63"/>
    </row>
    <row r="75" spans="2:20">
      <c r="L75" s="62"/>
    </row>
  </sheetData>
  <mergeCells count="91">
    <mergeCell ref="C58:D58"/>
    <mergeCell ref="Q52:Q53"/>
    <mergeCell ref="R52:R53"/>
    <mergeCell ref="Q54:Q63"/>
    <mergeCell ref="R54:R63"/>
    <mergeCell ref="H52:J52"/>
    <mergeCell ref="K52:K53"/>
    <mergeCell ref="L52:L53"/>
    <mergeCell ref="M52:M53"/>
    <mergeCell ref="N52:N53"/>
    <mergeCell ref="O52:O53"/>
    <mergeCell ref="P52:P53"/>
    <mergeCell ref="C63:D63"/>
    <mergeCell ref="O46:O48"/>
    <mergeCell ref="N44:N45"/>
    <mergeCell ref="M44:M45"/>
    <mergeCell ref="G44:G45"/>
    <mergeCell ref="C32:C33"/>
    <mergeCell ref="D32:F33"/>
    <mergeCell ref="G38:G39"/>
    <mergeCell ref="I38:I39"/>
    <mergeCell ref="J44:L45"/>
    <mergeCell ref="D38:F39"/>
    <mergeCell ref="J32:J41"/>
    <mergeCell ref="K32:K41"/>
    <mergeCell ref="O44:O45"/>
    <mergeCell ref="N46:N48"/>
    <mergeCell ref="C34:C35"/>
    <mergeCell ref="G36:G37"/>
    <mergeCell ref="AD22:AE22"/>
    <mergeCell ref="S22:S23"/>
    <mergeCell ref="T22:T23"/>
    <mergeCell ref="U22:U23"/>
    <mergeCell ref="W22:X22"/>
    <mergeCell ref="Y22:Z22"/>
    <mergeCell ref="V22:V23"/>
    <mergeCell ref="AA22:AB22"/>
    <mergeCell ref="AC22:AC23"/>
    <mergeCell ref="H10:I10"/>
    <mergeCell ref="C14:D14"/>
    <mergeCell ref="C15:D15"/>
    <mergeCell ref="G40:G41"/>
    <mergeCell ref="G32:G33"/>
    <mergeCell ref="I32:I33"/>
    <mergeCell ref="C36:C37"/>
    <mergeCell ref="D34:F35"/>
    <mergeCell ref="G34:G35"/>
    <mergeCell ref="I34:I35"/>
    <mergeCell ref="B44:B45"/>
    <mergeCell ref="C44:E45"/>
    <mergeCell ref="F44:F45"/>
    <mergeCell ref="D36:F37"/>
    <mergeCell ref="D10:E10"/>
    <mergeCell ref="C2:H2"/>
    <mergeCell ref="D5:E5"/>
    <mergeCell ref="D6:E6"/>
    <mergeCell ref="H6:I6"/>
    <mergeCell ref="D7:E7"/>
    <mergeCell ref="H7:I7"/>
    <mergeCell ref="I36:I37"/>
    <mergeCell ref="C65:D65"/>
    <mergeCell ref="C46:E46"/>
    <mergeCell ref="C47:E47"/>
    <mergeCell ref="C48:E48"/>
    <mergeCell ref="C40:C41"/>
    <mergeCell ref="D40:F41"/>
    <mergeCell ref="C52:D53"/>
    <mergeCell ref="E52:G52"/>
    <mergeCell ref="C55:D55"/>
    <mergeCell ref="C56:D56"/>
    <mergeCell ref="C59:D59"/>
    <mergeCell ref="C60:D60"/>
    <mergeCell ref="C61:D61"/>
    <mergeCell ref="C62:D62"/>
    <mergeCell ref="C57:D57"/>
    <mergeCell ref="C66:D66"/>
    <mergeCell ref="H5:I5"/>
    <mergeCell ref="C17:D17"/>
    <mergeCell ref="C25:C27"/>
    <mergeCell ref="D31:F31"/>
    <mergeCell ref="C38:C39"/>
    <mergeCell ref="I40:I41"/>
    <mergeCell ref="H44:I44"/>
    <mergeCell ref="C16:D16"/>
    <mergeCell ref="C18:D18"/>
    <mergeCell ref="C54:D54"/>
    <mergeCell ref="G31:H31"/>
    <mergeCell ref="D8:E8"/>
    <mergeCell ref="H8:I8"/>
    <mergeCell ref="D9:E9"/>
    <mergeCell ref="H9:I9"/>
  </mergeCells>
  <pageMargins left="0.7" right="0.7" top="0.75" bottom="0.75" header="0.3" footer="0.3"/>
  <pageSetup paperSize="9" orientation="portrait" horizontalDpi="0"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2A3B7-77AD-4B11-9519-465FB18BD6A7}">
  <dimension ref="B2:X64"/>
  <sheetViews>
    <sheetView topLeftCell="A34" workbookViewId="0">
      <selection activeCell="E45" sqref="E45"/>
    </sheetView>
  </sheetViews>
  <sheetFormatPr defaultRowHeight="15"/>
  <cols>
    <col min="2" max="2" width="20.7109375" customWidth="1"/>
    <col min="4" max="4" width="12.85546875" customWidth="1"/>
    <col min="14" max="14" width="20.42578125" customWidth="1"/>
    <col min="16" max="16" width="11.28515625" customWidth="1"/>
  </cols>
  <sheetData>
    <row r="2" spans="2:24">
      <c r="B2" t="s">
        <v>137</v>
      </c>
      <c r="N2" t="s">
        <v>138</v>
      </c>
    </row>
    <row r="3" spans="2:24">
      <c r="B3" s="99" t="s">
        <v>148</v>
      </c>
      <c r="C3" s="99" t="s">
        <v>149</v>
      </c>
      <c r="D3" s="99" t="s">
        <v>150</v>
      </c>
      <c r="E3" s="99" t="s">
        <v>151</v>
      </c>
      <c r="F3" s="99" t="s">
        <v>152</v>
      </c>
      <c r="G3" s="99" t="s">
        <v>153</v>
      </c>
      <c r="H3" s="99" t="s">
        <v>154</v>
      </c>
      <c r="I3" s="99" t="s">
        <v>155</v>
      </c>
      <c r="J3" s="99" t="s">
        <v>156</v>
      </c>
      <c r="K3" s="99" t="s">
        <v>157</v>
      </c>
      <c r="L3" s="100" t="s">
        <v>158</v>
      </c>
      <c r="N3" s="99" t="s">
        <v>148</v>
      </c>
      <c r="O3" s="99" t="s">
        <v>149</v>
      </c>
      <c r="P3" s="99" t="s">
        <v>150</v>
      </c>
      <c r="Q3" s="99" t="s">
        <v>151</v>
      </c>
      <c r="R3" s="99" t="s">
        <v>152</v>
      </c>
      <c r="S3" s="99" t="s">
        <v>153</v>
      </c>
      <c r="T3" s="99" t="s">
        <v>154</v>
      </c>
      <c r="U3" s="99" t="s">
        <v>155</v>
      </c>
      <c r="V3" s="99" t="s">
        <v>156</v>
      </c>
      <c r="W3" s="99" t="s">
        <v>157</v>
      </c>
      <c r="X3" s="100" t="s">
        <v>158</v>
      </c>
    </row>
    <row r="4" spans="2:24">
      <c r="B4" s="101" t="s">
        <v>159</v>
      </c>
      <c r="C4" s="102" t="s">
        <v>171</v>
      </c>
      <c r="D4" s="101" t="s">
        <v>160</v>
      </c>
      <c r="E4" s="103">
        <f>Skorsing!M54</f>
        <v>0.57735026918962584</v>
      </c>
      <c r="F4" s="103">
        <v>1</v>
      </c>
      <c r="G4" s="102">
        <v>2</v>
      </c>
      <c r="H4" s="102">
        <f>E4/F4</f>
        <v>0.57735026918962584</v>
      </c>
      <c r="I4" s="102">
        <v>1</v>
      </c>
      <c r="J4" s="102">
        <f>H4*I4</f>
        <v>0.57735026918962584</v>
      </c>
      <c r="K4" s="102">
        <f>J4^2</f>
        <v>0.33333333333333343</v>
      </c>
      <c r="L4" s="102">
        <f>J4^4/G4</f>
        <v>5.5555555555555587E-2</v>
      </c>
      <c r="N4" s="101" t="s">
        <v>159</v>
      </c>
      <c r="O4" s="102" t="s">
        <v>171</v>
      </c>
      <c r="P4" s="101" t="s">
        <v>160</v>
      </c>
      <c r="Q4" s="103">
        <f>Skorsing!M55</f>
        <v>0.57735026918962629</v>
      </c>
      <c r="R4" s="103">
        <v>1</v>
      </c>
      <c r="S4" s="102">
        <v>2</v>
      </c>
      <c r="T4" s="102">
        <f>Q4/R4</f>
        <v>0.57735026918962629</v>
      </c>
      <c r="U4" s="102">
        <v>1</v>
      </c>
      <c r="V4" s="102">
        <f>T4*U4</f>
        <v>0.57735026918962629</v>
      </c>
      <c r="W4" s="102">
        <f>V4^2</f>
        <v>0.33333333333333393</v>
      </c>
      <c r="X4" s="102">
        <f>V4^4/S4</f>
        <v>5.5555555555555754E-2</v>
      </c>
    </row>
    <row r="5" spans="2:24">
      <c r="B5" s="101" t="s">
        <v>161</v>
      </c>
      <c r="C5" s="102" t="s">
        <v>171</v>
      </c>
      <c r="D5" s="101" t="s">
        <v>162</v>
      </c>
      <c r="E5" s="102">
        <v>0</v>
      </c>
      <c r="F5" s="103">
        <v>2</v>
      </c>
      <c r="G5" s="104">
        <f>1/2*(100/10)^2</f>
        <v>50</v>
      </c>
      <c r="H5" s="102">
        <f t="shared" ref="H5:H7" si="0">E5/F5</f>
        <v>0</v>
      </c>
      <c r="I5" s="102">
        <v>1</v>
      </c>
      <c r="J5" s="102">
        <f t="shared" ref="J5:J7" si="1">H5*I5</f>
        <v>0</v>
      </c>
      <c r="K5" s="102">
        <f t="shared" ref="K5:K7" si="2">J5^2</f>
        <v>0</v>
      </c>
      <c r="L5" s="102">
        <f t="shared" ref="L5:L7" si="3">J5^4/G5</f>
        <v>0</v>
      </c>
      <c r="N5" s="101" t="s">
        <v>161</v>
      </c>
      <c r="O5" s="102" t="s">
        <v>171</v>
      </c>
      <c r="P5" s="101" t="s">
        <v>162</v>
      </c>
      <c r="Q5" s="102">
        <v>0</v>
      </c>
      <c r="R5" s="103">
        <v>2</v>
      </c>
      <c r="S5" s="104">
        <f>1/2*(100/10)^2</f>
        <v>50</v>
      </c>
      <c r="T5" s="102">
        <f t="shared" ref="T5:T7" si="4">Q5/R5</f>
        <v>0</v>
      </c>
      <c r="U5" s="102">
        <v>1</v>
      </c>
      <c r="V5" s="102">
        <f t="shared" ref="V5:V7" si="5">T5*U5</f>
        <v>0</v>
      </c>
      <c r="W5" s="102">
        <f t="shared" ref="W5:W7" si="6">V5^2</f>
        <v>0</v>
      </c>
      <c r="X5" s="102">
        <f t="shared" ref="X5:X7" si="7">V5^4/S5</f>
        <v>0</v>
      </c>
    </row>
    <row r="6" spans="2:24">
      <c r="B6" s="101" t="s">
        <v>163</v>
      </c>
      <c r="C6" s="102" t="s">
        <v>171</v>
      </c>
      <c r="D6" s="101" t="s">
        <v>164</v>
      </c>
      <c r="E6" s="102">
        <f>0.5*Skorsing!$D$11</f>
        <v>0.5</v>
      </c>
      <c r="F6" s="103">
        <f>SQRT(3)</f>
        <v>1.7320508075688772</v>
      </c>
      <c r="G6" s="104">
        <f t="shared" ref="G6:G7" si="8">1/2*(100/10)^2</f>
        <v>50</v>
      </c>
      <c r="H6" s="102">
        <f t="shared" si="0"/>
        <v>0.28867513459481292</v>
      </c>
      <c r="I6" s="102">
        <v>1</v>
      </c>
      <c r="J6" s="102">
        <f t="shared" si="1"/>
        <v>0.28867513459481292</v>
      </c>
      <c r="K6" s="102">
        <f t="shared" si="2"/>
        <v>8.3333333333333356E-2</v>
      </c>
      <c r="L6" s="102">
        <f t="shared" si="3"/>
        <v>1.3888888888888897E-4</v>
      </c>
      <c r="N6" s="101" t="s">
        <v>163</v>
      </c>
      <c r="O6" s="102" t="s">
        <v>171</v>
      </c>
      <c r="P6" s="101" t="s">
        <v>164</v>
      </c>
      <c r="Q6" s="102">
        <f>0.5*Skorsing!$D$11</f>
        <v>0.5</v>
      </c>
      <c r="R6" s="103">
        <f>SQRT(3)</f>
        <v>1.7320508075688772</v>
      </c>
      <c r="S6" s="104">
        <f t="shared" ref="S6:S7" si="9">1/2*(100/10)^2</f>
        <v>50</v>
      </c>
      <c r="T6" s="102">
        <f t="shared" si="4"/>
        <v>0.28867513459481292</v>
      </c>
      <c r="U6" s="102">
        <v>1</v>
      </c>
      <c r="V6" s="102">
        <f t="shared" si="5"/>
        <v>0.28867513459481292</v>
      </c>
      <c r="W6" s="102">
        <f t="shared" si="6"/>
        <v>8.3333333333333356E-2</v>
      </c>
      <c r="X6" s="102">
        <f t="shared" si="7"/>
        <v>1.3888888888888897E-4</v>
      </c>
    </row>
    <row r="7" spans="2:24">
      <c r="B7" s="101" t="s">
        <v>165</v>
      </c>
      <c r="C7" s="102" t="s">
        <v>171</v>
      </c>
      <c r="D7" s="101" t="s">
        <v>164</v>
      </c>
      <c r="E7" s="102">
        <v>0</v>
      </c>
      <c r="F7" s="103">
        <f>SQRT(3)</f>
        <v>1.7320508075688772</v>
      </c>
      <c r="G7" s="104">
        <f t="shared" si="8"/>
        <v>50</v>
      </c>
      <c r="H7" s="102">
        <f t="shared" si="0"/>
        <v>0</v>
      </c>
      <c r="I7" s="102">
        <v>1</v>
      </c>
      <c r="J7" s="102">
        <f t="shared" si="1"/>
        <v>0</v>
      </c>
      <c r="K7" s="102">
        <f t="shared" si="2"/>
        <v>0</v>
      </c>
      <c r="L7" s="102">
        <f t="shared" si="3"/>
        <v>0</v>
      </c>
      <c r="N7" s="101" t="s">
        <v>165</v>
      </c>
      <c r="O7" s="102" t="s">
        <v>171</v>
      </c>
      <c r="P7" s="101" t="s">
        <v>164</v>
      </c>
      <c r="Q7" s="102">
        <v>0</v>
      </c>
      <c r="R7" s="103">
        <f>SQRT(3)</f>
        <v>1.7320508075688772</v>
      </c>
      <c r="S7" s="104">
        <f t="shared" si="9"/>
        <v>50</v>
      </c>
      <c r="T7" s="102">
        <f t="shared" si="4"/>
        <v>0</v>
      </c>
      <c r="U7" s="102">
        <v>1</v>
      </c>
      <c r="V7" s="102">
        <f t="shared" si="5"/>
        <v>0</v>
      </c>
      <c r="W7" s="102">
        <f t="shared" si="6"/>
        <v>0</v>
      </c>
      <c r="X7" s="102">
        <f t="shared" si="7"/>
        <v>0</v>
      </c>
    </row>
    <row r="8" spans="2:24">
      <c r="B8" s="314" t="s">
        <v>166</v>
      </c>
      <c r="C8" s="314"/>
      <c r="D8" s="314"/>
      <c r="E8" s="314"/>
      <c r="F8" s="314"/>
      <c r="G8" s="314"/>
      <c r="H8" s="314"/>
      <c r="I8" s="314"/>
      <c r="J8" s="314"/>
      <c r="K8" s="101">
        <f>SUM(K4:K7)</f>
        <v>0.4166666666666668</v>
      </c>
      <c r="L8" s="102">
        <f>SUM(L4:L7)</f>
        <v>5.5694444444444477E-2</v>
      </c>
      <c r="N8" s="314" t="s">
        <v>166</v>
      </c>
      <c r="O8" s="314"/>
      <c r="P8" s="314"/>
      <c r="Q8" s="314"/>
      <c r="R8" s="314"/>
      <c r="S8" s="314"/>
      <c r="T8" s="314"/>
      <c r="U8" s="314"/>
      <c r="V8" s="314"/>
      <c r="W8" s="101">
        <f>SUM(W4:W7)</f>
        <v>0.4166666666666673</v>
      </c>
      <c r="X8" s="102">
        <f>SUM(X4:X7)</f>
        <v>5.5694444444444643E-2</v>
      </c>
    </row>
    <row r="9" spans="2:24">
      <c r="B9" s="314" t="s">
        <v>167</v>
      </c>
      <c r="C9" s="314"/>
      <c r="D9" s="314"/>
      <c r="E9" s="314"/>
      <c r="F9" s="314"/>
      <c r="G9" s="314"/>
      <c r="H9" s="314"/>
      <c r="I9" s="314"/>
      <c r="J9" s="314"/>
      <c r="K9" s="101">
        <f>SQRT(K8)</f>
        <v>0.64549722436790291</v>
      </c>
      <c r="L9" s="98"/>
      <c r="N9" s="314" t="s">
        <v>167</v>
      </c>
      <c r="O9" s="314"/>
      <c r="P9" s="314"/>
      <c r="Q9" s="314"/>
      <c r="R9" s="314"/>
      <c r="S9" s="314"/>
      <c r="T9" s="314"/>
      <c r="U9" s="314"/>
      <c r="V9" s="314"/>
      <c r="W9" s="101">
        <f>SQRT(W8)</f>
        <v>0.64549722436790336</v>
      </c>
      <c r="X9" s="98"/>
    </row>
    <row r="10" spans="2:24">
      <c r="B10" s="314" t="s">
        <v>168</v>
      </c>
      <c r="C10" s="314"/>
      <c r="D10" s="314"/>
      <c r="E10" s="314"/>
      <c r="F10" s="314"/>
      <c r="G10" s="314"/>
      <c r="H10" s="314"/>
      <c r="I10" s="314"/>
      <c r="J10" s="314"/>
      <c r="K10" s="101">
        <f>K9^4/L8</f>
        <v>3.117206982543641</v>
      </c>
      <c r="L10" s="98"/>
      <c r="N10" s="314" t="s">
        <v>168</v>
      </c>
      <c r="O10" s="314"/>
      <c r="P10" s="314"/>
      <c r="Q10" s="314"/>
      <c r="R10" s="314"/>
      <c r="S10" s="314"/>
      <c r="T10" s="314"/>
      <c r="U10" s="314"/>
      <c r="V10" s="314"/>
      <c r="W10" s="101">
        <f>W9^4/X8</f>
        <v>3.1172069825436401</v>
      </c>
      <c r="X10" s="98"/>
    </row>
    <row r="11" spans="2:24">
      <c r="B11" s="314" t="s">
        <v>169</v>
      </c>
      <c r="C11" s="314"/>
      <c r="D11" s="314"/>
      <c r="E11" s="314"/>
      <c r="F11" s="314"/>
      <c r="G11" s="314"/>
      <c r="H11" s="314"/>
      <c r="I11" s="314"/>
      <c r="J11" s="314"/>
      <c r="K11" s="101">
        <f>TINV(0.05,K10)</f>
        <v>3.1824463052837091</v>
      </c>
      <c r="L11" s="98"/>
      <c r="N11" s="314" t="s">
        <v>169</v>
      </c>
      <c r="O11" s="314"/>
      <c r="P11" s="314"/>
      <c r="Q11" s="314"/>
      <c r="R11" s="314"/>
      <c r="S11" s="314"/>
      <c r="T11" s="314"/>
      <c r="U11" s="314"/>
      <c r="V11" s="314"/>
      <c r="W11" s="101">
        <f>TINV(0.05,W10)</f>
        <v>3.1824463052837091</v>
      </c>
      <c r="X11" s="98"/>
    </row>
    <row r="12" spans="2:24">
      <c r="B12" s="314" t="s">
        <v>170</v>
      </c>
      <c r="C12" s="314"/>
      <c r="D12" s="314"/>
      <c r="E12" s="314"/>
      <c r="F12" s="314"/>
      <c r="G12" s="314"/>
      <c r="H12" s="314"/>
      <c r="I12" s="314"/>
      <c r="J12" s="314"/>
      <c r="K12" s="105">
        <f>K11*K9</f>
        <v>2.0542602567605219</v>
      </c>
      <c r="L12" s="98"/>
      <c r="N12" s="314" t="s">
        <v>170</v>
      </c>
      <c r="O12" s="314"/>
      <c r="P12" s="314"/>
      <c r="Q12" s="314"/>
      <c r="R12" s="314"/>
      <c r="S12" s="314"/>
      <c r="T12" s="314"/>
      <c r="U12" s="314"/>
      <c r="V12" s="314"/>
      <c r="W12" s="105">
        <f>W11*W9</f>
        <v>2.0542602567605233</v>
      </c>
      <c r="X12" s="98"/>
    </row>
    <row r="15" spans="2:24">
      <c r="B15" t="s">
        <v>139</v>
      </c>
      <c r="N15" t="s">
        <v>140</v>
      </c>
    </row>
    <row r="16" spans="2:24">
      <c r="B16" s="99" t="s">
        <v>148</v>
      </c>
      <c r="C16" s="99" t="s">
        <v>149</v>
      </c>
      <c r="D16" s="99" t="s">
        <v>150</v>
      </c>
      <c r="E16" s="99" t="s">
        <v>151</v>
      </c>
      <c r="F16" s="99" t="s">
        <v>152</v>
      </c>
      <c r="G16" s="99" t="s">
        <v>153</v>
      </c>
      <c r="H16" s="99" t="s">
        <v>154</v>
      </c>
      <c r="I16" s="99" t="s">
        <v>155</v>
      </c>
      <c r="J16" s="99" t="s">
        <v>156</v>
      </c>
      <c r="K16" s="99" t="s">
        <v>157</v>
      </c>
      <c r="L16" s="100" t="s">
        <v>158</v>
      </c>
      <c r="N16" s="99" t="s">
        <v>148</v>
      </c>
      <c r="O16" s="99" t="s">
        <v>149</v>
      </c>
      <c r="P16" s="99" t="s">
        <v>150</v>
      </c>
      <c r="Q16" s="99" t="s">
        <v>151</v>
      </c>
      <c r="R16" s="99" t="s">
        <v>152</v>
      </c>
      <c r="S16" s="99" t="s">
        <v>153</v>
      </c>
      <c r="T16" s="99" t="s">
        <v>154</v>
      </c>
      <c r="U16" s="99" t="s">
        <v>155</v>
      </c>
      <c r="V16" s="99" t="s">
        <v>156</v>
      </c>
      <c r="W16" s="99" t="s">
        <v>157</v>
      </c>
      <c r="X16" s="100" t="s">
        <v>158</v>
      </c>
    </row>
    <row r="17" spans="2:24">
      <c r="B17" s="101" t="s">
        <v>159</v>
      </c>
      <c r="C17" s="102" t="s">
        <v>171</v>
      </c>
      <c r="D17" s="101" t="s">
        <v>160</v>
      </c>
      <c r="E17" s="102">
        <f>Skorsing!N56</f>
        <v>0.25819888974716065</v>
      </c>
      <c r="F17" s="103">
        <v>1</v>
      </c>
      <c r="G17" s="102">
        <v>2</v>
      </c>
      <c r="H17" s="102">
        <f>E17/F17</f>
        <v>0.25819888974716065</v>
      </c>
      <c r="I17" s="102">
        <v>1</v>
      </c>
      <c r="J17" s="102">
        <f>H17*I17</f>
        <v>0.25819888974716065</v>
      </c>
      <c r="K17" s="102">
        <f>J17^2</f>
        <v>6.666666666666643E-2</v>
      </c>
      <c r="L17" s="102">
        <f>J17^4/G17</f>
        <v>2.2222222222222066E-3</v>
      </c>
      <c r="N17" s="101" t="s">
        <v>159</v>
      </c>
      <c r="O17" s="102" t="s">
        <v>171</v>
      </c>
      <c r="P17" s="101" t="s">
        <v>160</v>
      </c>
      <c r="Q17" s="103">
        <f>Skorsing!M57</f>
        <v>1.1547005383792515</v>
      </c>
      <c r="R17" s="103">
        <v>1</v>
      </c>
      <c r="S17" s="102">
        <v>2</v>
      </c>
      <c r="T17" s="102">
        <f>Q17/R17</f>
        <v>1.1547005383792515</v>
      </c>
      <c r="U17" s="102">
        <v>1</v>
      </c>
      <c r="V17" s="102">
        <f>T17*U17</f>
        <v>1.1547005383792515</v>
      </c>
      <c r="W17" s="102">
        <f>V17^2</f>
        <v>1.3333333333333333</v>
      </c>
      <c r="X17" s="102">
        <f>V17^4/S17</f>
        <v>0.88888888888888884</v>
      </c>
    </row>
    <row r="18" spans="2:24">
      <c r="B18" s="101" t="s">
        <v>161</v>
      </c>
      <c r="C18" s="102" t="s">
        <v>171</v>
      </c>
      <c r="D18" s="101" t="s">
        <v>162</v>
      </c>
      <c r="E18" s="102">
        <v>0</v>
      </c>
      <c r="F18" s="103">
        <v>2</v>
      </c>
      <c r="G18" s="104">
        <f>1/2*(100/10)^2</f>
        <v>50</v>
      </c>
      <c r="H18" s="102">
        <f t="shared" ref="H18:H20" si="10">E18/F18</f>
        <v>0</v>
      </c>
      <c r="I18" s="102">
        <v>1</v>
      </c>
      <c r="J18" s="102">
        <f t="shared" ref="J18:J20" si="11">H18*I18</f>
        <v>0</v>
      </c>
      <c r="K18" s="102">
        <f t="shared" ref="K18:K20" si="12">J18^2</f>
        <v>0</v>
      </c>
      <c r="L18" s="102">
        <f t="shared" ref="L18:L20" si="13">J18^4/G18</f>
        <v>0</v>
      </c>
      <c r="N18" s="101" t="s">
        <v>161</v>
      </c>
      <c r="O18" s="102" t="s">
        <v>171</v>
      </c>
      <c r="P18" s="101" t="s">
        <v>162</v>
      </c>
      <c r="Q18" s="102">
        <v>0</v>
      </c>
      <c r="R18" s="103">
        <v>2</v>
      </c>
      <c r="S18" s="104">
        <f>1/2*(100/10)^2</f>
        <v>50</v>
      </c>
      <c r="T18" s="102">
        <f t="shared" ref="T18:T20" si="14">Q18/R18</f>
        <v>0</v>
      </c>
      <c r="U18" s="102">
        <v>1</v>
      </c>
      <c r="V18" s="102">
        <f t="shared" ref="V18:V20" si="15">T18*U18</f>
        <v>0</v>
      </c>
      <c r="W18" s="102">
        <f t="shared" ref="W18:W20" si="16">V18^2</f>
        <v>0</v>
      </c>
      <c r="X18" s="102">
        <f t="shared" ref="X18:X20" si="17">V18^4/S18</f>
        <v>0</v>
      </c>
    </row>
    <row r="19" spans="2:24">
      <c r="B19" s="101" t="s">
        <v>163</v>
      </c>
      <c r="C19" s="102" t="s">
        <v>171</v>
      </c>
      <c r="D19" s="101" t="s">
        <v>164</v>
      </c>
      <c r="E19" s="102">
        <f>0.5*Skorsing!$D$11</f>
        <v>0.5</v>
      </c>
      <c r="F19" s="103">
        <f>SQRT(3)</f>
        <v>1.7320508075688772</v>
      </c>
      <c r="G19" s="104">
        <f t="shared" ref="G19:G20" si="18">1/2*(100/10)^2</f>
        <v>50</v>
      </c>
      <c r="H19" s="102">
        <f t="shared" si="10"/>
        <v>0.28867513459481292</v>
      </c>
      <c r="I19" s="102">
        <v>1</v>
      </c>
      <c r="J19" s="102">
        <f t="shared" si="11"/>
        <v>0.28867513459481292</v>
      </c>
      <c r="K19" s="102">
        <f t="shared" si="12"/>
        <v>8.3333333333333356E-2</v>
      </c>
      <c r="L19" s="102">
        <f t="shared" si="13"/>
        <v>1.3888888888888897E-4</v>
      </c>
      <c r="N19" s="101" t="s">
        <v>163</v>
      </c>
      <c r="O19" s="102" t="s">
        <v>171</v>
      </c>
      <c r="P19" s="101" t="s">
        <v>164</v>
      </c>
      <c r="Q19" s="102">
        <f>0.5*Skorsing!$D$11</f>
        <v>0.5</v>
      </c>
      <c r="R19" s="103">
        <f>SQRT(3)</f>
        <v>1.7320508075688772</v>
      </c>
      <c r="S19" s="104">
        <f t="shared" ref="S19:S20" si="19">1/2*(100/10)^2</f>
        <v>50</v>
      </c>
      <c r="T19" s="102">
        <f t="shared" si="14"/>
        <v>0.28867513459481292</v>
      </c>
      <c r="U19" s="102">
        <v>1</v>
      </c>
      <c r="V19" s="102">
        <f t="shared" si="15"/>
        <v>0.28867513459481292</v>
      </c>
      <c r="W19" s="102">
        <f t="shared" si="16"/>
        <v>8.3333333333333356E-2</v>
      </c>
      <c r="X19" s="102">
        <f t="shared" si="17"/>
        <v>1.3888888888888897E-4</v>
      </c>
    </row>
    <row r="20" spans="2:24">
      <c r="B20" s="101" t="s">
        <v>165</v>
      </c>
      <c r="C20" s="102" t="s">
        <v>171</v>
      </c>
      <c r="D20" s="101" t="s">
        <v>164</v>
      </c>
      <c r="E20" s="102">
        <v>0</v>
      </c>
      <c r="F20" s="103">
        <f>SQRT(3)</f>
        <v>1.7320508075688772</v>
      </c>
      <c r="G20" s="104">
        <f t="shared" si="18"/>
        <v>50</v>
      </c>
      <c r="H20" s="102">
        <f t="shared" si="10"/>
        <v>0</v>
      </c>
      <c r="I20" s="102">
        <v>1</v>
      </c>
      <c r="J20" s="102">
        <f t="shared" si="11"/>
        <v>0</v>
      </c>
      <c r="K20" s="102">
        <f t="shared" si="12"/>
        <v>0</v>
      </c>
      <c r="L20" s="102">
        <f t="shared" si="13"/>
        <v>0</v>
      </c>
      <c r="N20" s="101" t="s">
        <v>165</v>
      </c>
      <c r="O20" s="102" t="s">
        <v>171</v>
      </c>
      <c r="P20" s="101" t="s">
        <v>164</v>
      </c>
      <c r="Q20" s="102">
        <v>0</v>
      </c>
      <c r="R20" s="103">
        <f>SQRT(3)</f>
        <v>1.7320508075688772</v>
      </c>
      <c r="S20" s="104">
        <f t="shared" si="19"/>
        <v>50</v>
      </c>
      <c r="T20" s="102">
        <f t="shared" si="14"/>
        <v>0</v>
      </c>
      <c r="U20" s="102">
        <v>1</v>
      </c>
      <c r="V20" s="102">
        <f t="shared" si="15"/>
        <v>0</v>
      </c>
      <c r="W20" s="102">
        <f t="shared" si="16"/>
        <v>0</v>
      </c>
      <c r="X20" s="102">
        <f t="shared" si="17"/>
        <v>0</v>
      </c>
    </row>
    <row r="21" spans="2:24">
      <c r="B21" s="314" t="s">
        <v>166</v>
      </c>
      <c r="C21" s="314"/>
      <c r="D21" s="314"/>
      <c r="E21" s="314"/>
      <c r="F21" s="314"/>
      <c r="G21" s="314"/>
      <c r="H21" s="314"/>
      <c r="I21" s="314"/>
      <c r="J21" s="314"/>
      <c r="K21" s="101">
        <f>SUM(K17:K20)</f>
        <v>0.1499999999999998</v>
      </c>
      <c r="L21" s="102">
        <f>SUM(L17:L20)</f>
        <v>2.3611111111110955E-3</v>
      </c>
      <c r="N21" s="314" t="s">
        <v>166</v>
      </c>
      <c r="O21" s="314"/>
      <c r="P21" s="314"/>
      <c r="Q21" s="314"/>
      <c r="R21" s="314"/>
      <c r="S21" s="314"/>
      <c r="T21" s="314"/>
      <c r="U21" s="314"/>
      <c r="V21" s="314"/>
      <c r="W21" s="101">
        <f>SUM(W17:W20)</f>
        <v>1.4166666666666665</v>
      </c>
      <c r="X21" s="102">
        <f>SUM(X17:X20)</f>
        <v>0.88902777777777775</v>
      </c>
    </row>
    <row r="22" spans="2:24">
      <c r="B22" s="314" t="s">
        <v>167</v>
      </c>
      <c r="C22" s="314"/>
      <c r="D22" s="314"/>
      <c r="E22" s="314"/>
      <c r="F22" s="314"/>
      <c r="G22" s="314"/>
      <c r="H22" s="314"/>
      <c r="I22" s="314"/>
      <c r="J22" s="314"/>
      <c r="K22" s="101">
        <f>SQRT(K21)</f>
        <v>0.38729833462074142</v>
      </c>
      <c r="L22" s="98"/>
      <c r="N22" s="314" t="s">
        <v>167</v>
      </c>
      <c r="O22" s="314"/>
      <c r="P22" s="314"/>
      <c r="Q22" s="314"/>
      <c r="R22" s="314"/>
      <c r="S22" s="314"/>
      <c r="T22" s="314"/>
      <c r="U22" s="314"/>
      <c r="V22" s="314"/>
      <c r="W22" s="101">
        <f>SQRT(W21)</f>
        <v>1.1902380714238083</v>
      </c>
      <c r="X22" s="98"/>
    </row>
    <row r="23" spans="2:24">
      <c r="B23" s="314" t="s">
        <v>168</v>
      </c>
      <c r="C23" s="314"/>
      <c r="D23" s="314"/>
      <c r="E23" s="314"/>
      <c r="F23" s="314"/>
      <c r="G23" s="314"/>
      <c r="H23" s="314"/>
      <c r="I23" s="314"/>
      <c r="J23" s="314"/>
      <c r="K23" s="101">
        <f>K22^4/L21</f>
        <v>9.5294117647059196</v>
      </c>
      <c r="L23" s="98"/>
      <c r="N23" s="314" t="s">
        <v>168</v>
      </c>
      <c r="O23" s="314"/>
      <c r="P23" s="314"/>
      <c r="Q23" s="314"/>
      <c r="R23" s="314"/>
      <c r="S23" s="314"/>
      <c r="T23" s="314"/>
      <c r="U23" s="314"/>
      <c r="V23" s="314"/>
      <c r="W23" s="101">
        <f>W22^4/X21</f>
        <v>2.2574597719106393</v>
      </c>
      <c r="X23" s="98"/>
    </row>
    <row r="24" spans="2:24">
      <c r="B24" s="314" t="s">
        <v>169</v>
      </c>
      <c r="C24" s="314"/>
      <c r="D24" s="314"/>
      <c r="E24" s="314"/>
      <c r="F24" s="314"/>
      <c r="G24" s="314"/>
      <c r="H24" s="314"/>
      <c r="I24" s="314"/>
      <c r="J24" s="314"/>
      <c r="K24" s="101">
        <f>TINV(0.05,K23)</f>
        <v>2.2621571627982053</v>
      </c>
      <c r="L24" s="98"/>
      <c r="N24" s="314" t="s">
        <v>169</v>
      </c>
      <c r="O24" s="314"/>
      <c r="P24" s="314"/>
      <c r="Q24" s="314"/>
      <c r="R24" s="314"/>
      <c r="S24" s="314"/>
      <c r="T24" s="314"/>
      <c r="U24" s="314"/>
      <c r="V24" s="314"/>
      <c r="W24" s="101">
        <f>TINV(0.05,W23)</f>
        <v>4.3026527297494637</v>
      </c>
      <c r="X24" s="98"/>
    </row>
    <row r="25" spans="2:24">
      <c r="B25" s="314" t="s">
        <v>170</v>
      </c>
      <c r="C25" s="314"/>
      <c r="D25" s="314"/>
      <c r="E25" s="314"/>
      <c r="F25" s="314"/>
      <c r="G25" s="314"/>
      <c r="H25" s="314"/>
      <c r="I25" s="314"/>
      <c r="J25" s="314"/>
      <c r="K25" s="105">
        <f>K24*K22</f>
        <v>0.87612970180212635</v>
      </c>
      <c r="L25" s="98"/>
      <c r="N25" s="314" t="s">
        <v>170</v>
      </c>
      <c r="O25" s="314"/>
      <c r="P25" s="314"/>
      <c r="Q25" s="314"/>
      <c r="R25" s="314"/>
      <c r="S25" s="314"/>
      <c r="T25" s="314"/>
      <c r="U25" s="314"/>
      <c r="V25" s="314"/>
      <c r="W25" s="105">
        <f>W24*W22</f>
        <v>5.1211810870633858</v>
      </c>
      <c r="X25" s="98"/>
    </row>
    <row r="28" spans="2:24">
      <c r="B28" t="s">
        <v>141</v>
      </c>
      <c r="N28" t="s">
        <v>142</v>
      </c>
    </row>
    <row r="29" spans="2:24">
      <c r="B29" s="99" t="s">
        <v>148</v>
      </c>
      <c r="C29" s="99" t="s">
        <v>149</v>
      </c>
      <c r="D29" s="99" t="s">
        <v>150</v>
      </c>
      <c r="E29" s="99" t="s">
        <v>151</v>
      </c>
      <c r="F29" s="99" t="s">
        <v>152</v>
      </c>
      <c r="G29" s="99" t="s">
        <v>153</v>
      </c>
      <c r="H29" s="99" t="s">
        <v>154</v>
      </c>
      <c r="I29" s="99" t="s">
        <v>155</v>
      </c>
      <c r="J29" s="99" t="s">
        <v>156</v>
      </c>
      <c r="K29" s="99" t="s">
        <v>157</v>
      </c>
      <c r="L29" s="100" t="s">
        <v>158</v>
      </c>
      <c r="N29" s="99" t="s">
        <v>148</v>
      </c>
      <c r="O29" s="99" t="s">
        <v>149</v>
      </c>
      <c r="P29" s="99" t="s">
        <v>150</v>
      </c>
      <c r="Q29" s="99" t="s">
        <v>151</v>
      </c>
      <c r="R29" s="99" t="s">
        <v>152</v>
      </c>
      <c r="S29" s="99" t="s">
        <v>153</v>
      </c>
      <c r="T29" s="99" t="s">
        <v>154</v>
      </c>
      <c r="U29" s="99" t="s">
        <v>155</v>
      </c>
      <c r="V29" s="99" t="s">
        <v>156</v>
      </c>
      <c r="W29" s="99" t="s">
        <v>157</v>
      </c>
      <c r="X29" s="100" t="s">
        <v>158</v>
      </c>
    </row>
    <row r="30" spans="2:24">
      <c r="B30" s="101" t="s">
        <v>159</v>
      </c>
      <c r="C30" s="102" t="s">
        <v>171</v>
      </c>
      <c r="D30" s="101" t="s">
        <v>160</v>
      </c>
      <c r="E30" s="103">
        <f>Skorsing!M58</f>
        <v>0.57735026918962473</v>
      </c>
      <c r="F30" s="103">
        <v>1</v>
      </c>
      <c r="G30" s="102">
        <v>2</v>
      </c>
      <c r="H30" s="102">
        <f>E30/F30</f>
        <v>0.57735026918962473</v>
      </c>
      <c r="I30" s="102">
        <v>1</v>
      </c>
      <c r="J30" s="102">
        <f>H30*I30</f>
        <v>0.57735026918962473</v>
      </c>
      <c r="K30" s="102">
        <f>J30^2</f>
        <v>0.33333333333333215</v>
      </c>
      <c r="L30" s="102">
        <f>J30^4/G30</f>
        <v>5.5555555555555164E-2</v>
      </c>
      <c r="N30" s="101" t="s">
        <v>159</v>
      </c>
      <c r="O30" s="102" t="s">
        <v>171</v>
      </c>
      <c r="P30" s="101" t="s">
        <v>160</v>
      </c>
      <c r="Q30" s="103">
        <f>Skorsing!M59</f>
        <v>0.57735026918962473</v>
      </c>
      <c r="R30" s="103">
        <v>1</v>
      </c>
      <c r="S30" s="102">
        <v>2</v>
      </c>
      <c r="T30" s="102">
        <f>Q30/R30</f>
        <v>0.57735026918962473</v>
      </c>
      <c r="U30" s="102">
        <v>1</v>
      </c>
      <c r="V30" s="102">
        <f>T30*U30</f>
        <v>0.57735026918962473</v>
      </c>
      <c r="W30" s="102">
        <f>V30^2</f>
        <v>0.33333333333333215</v>
      </c>
      <c r="X30" s="102">
        <f>V30^4/S30</f>
        <v>5.5555555555555164E-2</v>
      </c>
    </row>
    <row r="31" spans="2:24">
      <c r="B31" s="101" t="s">
        <v>161</v>
      </c>
      <c r="C31" s="102" t="s">
        <v>171</v>
      </c>
      <c r="D31" s="101" t="s">
        <v>162</v>
      </c>
      <c r="E31" s="102">
        <v>0</v>
      </c>
      <c r="F31" s="103">
        <v>2</v>
      </c>
      <c r="G31" s="104">
        <f>1/2*(100/10)^2</f>
        <v>50</v>
      </c>
      <c r="H31" s="102">
        <f t="shared" ref="H31:H33" si="20">E31/F31</f>
        <v>0</v>
      </c>
      <c r="I31" s="102">
        <v>1</v>
      </c>
      <c r="J31" s="102">
        <f t="shared" ref="J31:J33" si="21">H31*I31</f>
        <v>0</v>
      </c>
      <c r="K31" s="102">
        <f t="shared" ref="K31:K33" si="22">J31^2</f>
        <v>0</v>
      </c>
      <c r="L31" s="102">
        <f t="shared" ref="L31:L33" si="23">J31^4/G31</f>
        <v>0</v>
      </c>
      <c r="N31" s="101" t="s">
        <v>161</v>
      </c>
      <c r="O31" s="102" t="s">
        <v>171</v>
      </c>
      <c r="P31" s="101" t="s">
        <v>162</v>
      </c>
      <c r="Q31" s="102">
        <v>0</v>
      </c>
      <c r="R31" s="103">
        <v>2</v>
      </c>
      <c r="S31" s="104">
        <f>1/2*(100/10)^2</f>
        <v>50</v>
      </c>
      <c r="T31" s="102">
        <f t="shared" ref="T31:T33" si="24">Q31/R31</f>
        <v>0</v>
      </c>
      <c r="U31" s="102">
        <v>1</v>
      </c>
      <c r="V31" s="102">
        <f t="shared" ref="V31:V33" si="25">T31*U31</f>
        <v>0</v>
      </c>
      <c r="W31" s="102">
        <f t="shared" ref="W31:W33" si="26">V31^2</f>
        <v>0</v>
      </c>
      <c r="X31" s="102">
        <f t="shared" ref="X31:X33" si="27">V31^4/S31</f>
        <v>0</v>
      </c>
    </row>
    <row r="32" spans="2:24">
      <c r="B32" s="101" t="s">
        <v>163</v>
      </c>
      <c r="C32" s="102" t="s">
        <v>171</v>
      </c>
      <c r="D32" s="101" t="s">
        <v>164</v>
      </c>
      <c r="E32" s="102">
        <f>0.5*Skorsing!$D$11</f>
        <v>0.5</v>
      </c>
      <c r="F32" s="103">
        <f>SQRT(3)</f>
        <v>1.7320508075688772</v>
      </c>
      <c r="G32" s="104">
        <f t="shared" ref="G32:G33" si="28">1/2*(100/10)^2</f>
        <v>50</v>
      </c>
      <c r="H32" s="102">
        <f t="shared" si="20"/>
        <v>0.28867513459481292</v>
      </c>
      <c r="I32" s="102">
        <v>1</v>
      </c>
      <c r="J32" s="102">
        <f t="shared" si="21"/>
        <v>0.28867513459481292</v>
      </c>
      <c r="K32" s="102">
        <f t="shared" si="22"/>
        <v>8.3333333333333356E-2</v>
      </c>
      <c r="L32" s="102">
        <f t="shared" si="23"/>
        <v>1.3888888888888897E-4</v>
      </c>
      <c r="N32" s="101" t="s">
        <v>163</v>
      </c>
      <c r="O32" s="102" t="s">
        <v>171</v>
      </c>
      <c r="P32" s="101" t="s">
        <v>164</v>
      </c>
      <c r="Q32" s="102">
        <f>0.5*Skorsing!$D$11</f>
        <v>0.5</v>
      </c>
      <c r="R32" s="103">
        <f>SQRT(3)</f>
        <v>1.7320508075688772</v>
      </c>
      <c r="S32" s="104">
        <f t="shared" ref="S32:S33" si="29">1/2*(100/10)^2</f>
        <v>50</v>
      </c>
      <c r="T32" s="102">
        <f t="shared" si="24"/>
        <v>0.28867513459481292</v>
      </c>
      <c r="U32" s="102">
        <v>1</v>
      </c>
      <c r="V32" s="102">
        <f t="shared" si="25"/>
        <v>0.28867513459481292</v>
      </c>
      <c r="W32" s="102">
        <f t="shared" si="26"/>
        <v>8.3333333333333356E-2</v>
      </c>
      <c r="X32" s="102">
        <f t="shared" si="27"/>
        <v>1.3888888888888897E-4</v>
      </c>
    </row>
    <row r="33" spans="2:24">
      <c r="B33" s="101" t="s">
        <v>165</v>
      </c>
      <c r="C33" s="102" t="s">
        <v>171</v>
      </c>
      <c r="D33" s="101" t="s">
        <v>164</v>
      </c>
      <c r="E33" s="102">
        <v>0</v>
      </c>
      <c r="F33" s="103">
        <f>SQRT(3)</f>
        <v>1.7320508075688772</v>
      </c>
      <c r="G33" s="104">
        <f t="shared" si="28"/>
        <v>50</v>
      </c>
      <c r="H33" s="102">
        <f t="shared" si="20"/>
        <v>0</v>
      </c>
      <c r="I33" s="102">
        <v>1</v>
      </c>
      <c r="J33" s="102">
        <f t="shared" si="21"/>
        <v>0</v>
      </c>
      <c r="K33" s="102">
        <f t="shared" si="22"/>
        <v>0</v>
      </c>
      <c r="L33" s="102">
        <f t="shared" si="23"/>
        <v>0</v>
      </c>
      <c r="N33" s="101" t="s">
        <v>165</v>
      </c>
      <c r="O33" s="102" t="s">
        <v>171</v>
      </c>
      <c r="P33" s="101" t="s">
        <v>164</v>
      </c>
      <c r="Q33" s="102">
        <v>0</v>
      </c>
      <c r="R33" s="103">
        <f>SQRT(3)</f>
        <v>1.7320508075688772</v>
      </c>
      <c r="S33" s="104">
        <f t="shared" si="29"/>
        <v>50</v>
      </c>
      <c r="T33" s="102">
        <f t="shared" si="24"/>
        <v>0</v>
      </c>
      <c r="U33" s="102">
        <v>1</v>
      </c>
      <c r="V33" s="102">
        <f t="shared" si="25"/>
        <v>0</v>
      </c>
      <c r="W33" s="102">
        <f t="shared" si="26"/>
        <v>0</v>
      </c>
      <c r="X33" s="102">
        <f t="shared" si="27"/>
        <v>0</v>
      </c>
    </row>
    <row r="34" spans="2:24">
      <c r="B34" s="314" t="s">
        <v>166</v>
      </c>
      <c r="C34" s="314"/>
      <c r="D34" s="314"/>
      <c r="E34" s="314"/>
      <c r="F34" s="314"/>
      <c r="G34" s="314"/>
      <c r="H34" s="314"/>
      <c r="I34" s="314"/>
      <c r="J34" s="314"/>
      <c r="K34" s="101">
        <f>SUM(K30:K33)</f>
        <v>0.41666666666666552</v>
      </c>
      <c r="L34" s="102">
        <f>SUM(L30:L33)</f>
        <v>5.5694444444444054E-2</v>
      </c>
      <c r="N34" s="314" t="s">
        <v>166</v>
      </c>
      <c r="O34" s="314"/>
      <c r="P34" s="314"/>
      <c r="Q34" s="314"/>
      <c r="R34" s="314"/>
      <c r="S34" s="314"/>
      <c r="T34" s="314"/>
      <c r="U34" s="314"/>
      <c r="V34" s="314"/>
      <c r="W34" s="101">
        <f>SUM(W30:W33)</f>
        <v>0.41666666666666552</v>
      </c>
      <c r="X34" s="102">
        <f>SUM(X30:X33)</f>
        <v>5.5694444444444054E-2</v>
      </c>
    </row>
    <row r="35" spans="2:24">
      <c r="B35" s="314" t="s">
        <v>167</v>
      </c>
      <c r="C35" s="314"/>
      <c r="D35" s="314"/>
      <c r="E35" s="314"/>
      <c r="F35" s="314"/>
      <c r="G35" s="314"/>
      <c r="H35" s="314"/>
      <c r="I35" s="314"/>
      <c r="J35" s="314"/>
      <c r="K35" s="101">
        <f>SQRT(K34)</f>
        <v>0.64549722436790191</v>
      </c>
      <c r="L35" s="98"/>
      <c r="N35" s="314" t="s">
        <v>167</v>
      </c>
      <c r="O35" s="314"/>
      <c r="P35" s="314"/>
      <c r="Q35" s="314"/>
      <c r="R35" s="314"/>
      <c r="S35" s="314"/>
      <c r="T35" s="314"/>
      <c r="U35" s="314"/>
      <c r="V35" s="314"/>
      <c r="W35" s="101">
        <f>SQRT(W34)</f>
        <v>0.64549722436790191</v>
      </c>
      <c r="X35" s="98"/>
    </row>
    <row r="36" spans="2:24">
      <c r="B36" s="314" t="s">
        <v>168</v>
      </c>
      <c r="C36" s="314"/>
      <c r="D36" s="314"/>
      <c r="E36" s="314"/>
      <c r="F36" s="314"/>
      <c r="G36" s="314"/>
      <c r="H36" s="314"/>
      <c r="I36" s="314"/>
      <c r="J36" s="314"/>
      <c r="K36" s="101">
        <f>K35^4/L34</f>
        <v>3.1172069825436459</v>
      </c>
      <c r="L36" s="98"/>
      <c r="N36" s="314" t="s">
        <v>168</v>
      </c>
      <c r="O36" s="314"/>
      <c r="P36" s="314"/>
      <c r="Q36" s="314"/>
      <c r="R36" s="314"/>
      <c r="S36" s="314"/>
      <c r="T36" s="314"/>
      <c r="U36" s="314"/>
      <c r="V36" s="314"/>
      <c r="W36" s="101">
        <f>W35^4/X34</f>
        <v>3.1172069825436459</v>
      </c>
      <c r="X36" s="98"/>
    </row>
    <row r="37" spans="2:24">
      <c r="B37" s="314" t="s">
        <v>169</v>
      </c>
      <c r="C37" s="314"/>
      <c r="D37" s="314"/>
      <c r="E37" s="314"/>
      <c r="F37" s="314"/>
      <c r="G37" s="314"/>
      <c r="H37" s="314"/>
      <c r="I37" s="314"/>
      <c r="J37" s="314"/>
      <c r="K37" s="101">
        <f>TINV(0.05,K36)</f>
        <v>3.1824463052837091</v>
      </c>
      <c r="L37" s="98"/>
      <c r="N37" s="314" t="s">
        <v>169</v>
      </c>
      <c r="O37" s="314"/>
      <c r="P37" s="314"/>
      <c r="Q37" s="314"/>
      <c r="R37" s="314"/>
      <c r="S37" s="314"/>
      <c r="T37" s="314"/>
      <c r="U37" s="314"/>
      <c r="V37" s="314"/>
      <c r="W37" s="101">
        <f>TINV(0.05,W36)</f>
        <v>3.1824463052837091</v>
      </c>
      <c r="X37" s="98"/>
    </row>
    <row r="38" spans="2:24">
      <c r="B38" s="314" t="s">
        <v>170</v>
      </c>
      <c r="C38" s="314"/>
      <c r="D38" s="314"/>
      <c r="E38" s="314"/>
      <c r="F38" s="314"/>
      <c r="G38" s="314"/>
      <c r="H38" s="314"/>
      <c r="I38" s="314"/>
      <c r="J38" s="314"/>
      <c r="K38" s="105">
        <f>K37*K35</f>
        <v>2.0542602567605188</v>
      </c>
      <c r="L38" s="98"/>
      <c r="N38" s="314" t="s">
        <v>170</v>
      </c>
      <c r="O38" s="314"/>
      <c r="P38" s="314"/>
      <c r="Q38" s="314"/>
      <c r="R38" s="314"/>
      <c r="S38" s="314"/>
      <c r="T38" s="314"/>
      <c r="U38" s="314"/>
      <c r="V38" s="314"/>
      <c r="W38" s="105">
        <f>W37*W35</f>
        <v>2.0542602567605188</v>
      </c>
      <c r="X38" s="98"/>
    </row>
    <row r="41" spans="2:24">
      <c r="B41" t="s">
        <v>143</v>
      </c>
      <c r="N41" t="s">
        <v>144</v>
      </c>
    </row>
    <row r="42" spans="2:24">
      <c r="B42" s="99" t="s">
        <v>148</v>
      </c>
      <c r="C42" s="99" t="s">
        <v>149</v>
      </c>
      <c r="D42" s="99" t="s">
        <v>150</v>
      </c>
      <c r="E42" s="99" t="s">
        <v>151</v>
      </c>
      <c r="F42" s="99" t="s">
        <v>152</v>
      </c>
      <c r="G42" s="99" t="s">
        <v>153</v>
      </c>
      <c r="H42" s="99" t="s">
        <v>154</v>
      </c>
      <c r="I42" s="99" t="s">
        <v>155</v>
      </c>
      <c r="J42" s="99" t="s">
        <v>156</v>
      </c>
      <c r="K42" s="99" t="s">
        <v>157</v>
      </c>
      <c r="L42" s="100" t="s">
        <v>158</v>
      </c>
      <c r="N42" s="99" t="s">
        <v>148</v>
      </c>
      <c r="O42" s="99" t="s">
        <v>149</v>
      </c>
      <c r="P42" s="99" t="s">
        <v>150</v>
      </c>
      <c r="Q42" s="99" t="s">
        <v>151</v>
      </c>
      <c r="R42" s="99" t="s">
        <v>152</v>
      </c>
      <c r="S42" s="99" t="s">
        <v>153</v>
      </c>
      <c r="T42" s="99" t="s">
        <v>154</v>
      </c>
      <c r="U42" s="99" t="s">
        <v>155</v>
      </c>
      <c r="V42" s="99" t="s">
        <v>156</v>
      </c>
      <c r="W42" s="99" t="s">
        <v>157</v>
      </c>
      <c r="X42" s="100" t="s">
        <v>158</v>
      </c>
    </row>
    <row r="43" spans="2:24">
      <c r="B43" s="101" t="s">
        <v>159</v>
      </c>
      <c r="C43" s="102" t="s">
        <v>171</v>
      </c>
      <c r="D43" s="101" t="s">
        <v>160</v>
      </c>
      <c r="E43" s="103">
        <f>Skorsing!M60</f>
        <v>0.57735026918962473</v>
      </c>
      <c r="F43" s="103">
        <v>1</v>
      </c>
      <c r="G43" s="102">
        <v>2</v>
      </c>
      <c r="H43" s="102">
        <f>E43/F43</f>
        <v>0.57735026918962473</v>
      </c>
      <c r="I43" s="102">
        <v>1</v>
      </c>
      <c r="J43" s="102">
        <f>H43*I43</f>
        <v>0.57735026918962473</v>
      </c>
      <c r="K43" s="102">
        <f>J43^2</f>
        <v>0.33333333333333215</v>
      </c>
      <c r="L43" s="102">
        <f>J43^4/G43</f>
        <v>5.5555555555555164E-2</v>
      </c>
      <c r="N43" s="101" t="s">
        <v>159</v>
      </c>
      <c r="O43" s="102" t="s">
        <v>171</v>
      </c>
      <c r="P43" s="101" t="s">
        <v>160</v>
      </c>
      <c r="Q43" s="103">
        <f>Skorsing!M61</f>
        <v>0.57735026918962473</v>
      </c>
      <c r="R43" s="103">
        <v>1</v>
      </c>
      <c r="S43" s="102">
        <v>2</v>
      </c>
      <c r="T43" s="102">
        <f>Q43/R43</f>
        <v>0.57735026918962473</v>
      </c>
      <c r="U43" s="102">
        <v>1</v>
      </c>
      <c r="V43" s="102">
        <f>T43*U43</f>
        <v>0.57735026918962473</v>
      </c>
      <c r="W43" s="102">
        <f>V43^2</f>
        <v>0.33333333333333215</v>
      </c>
      <c r="X43" s="102">
        <f>V43^4/S43</f>
        <v>5.5555555555555164E-2</v>
      </c>
    </row>
    <row r="44" spans="2:24">
      <c r="B44" s="101" t="s">
        <v>161</v>
      </c>
      <c r="C44" s="102" t="s">
        <v>171</v>
      </c>
      <c r="D44" s="101" t="s">
        <v>162</v>
      </c>
      <c r="E44" s="102">
        <v>0</v>
      </c>
      <c r="F44" s="103">
        <v>2</v>
      </c>
      <c r="G44" s="104">
        <f>1/2*(100/10)^2</f>
        <v>50</v>
      </c>
      <c r="H44" s="102">
        <f t="shared" ref="H44:H46" si="30">E44/F44</f>
        <v>0</v>
      </c>
      <c r="I44" s="102">
        <v>1</v>
      </c>
      <c r="J44" s="102">
        <f t="shared" ref="J44:J46" si="31">H44*I44</f>
        <v>0</v>
      </c>
      <c r="K44" s="102">
        <f t="shared" ref="K44:K46" si="32">J44^2</f>
        <v>0</v>
      </c>
      <c r="L44" s="102">
        <f t="shared" ref="L44:L46" si="33">J44^4/G44</f>
        <v>0</v>
      </c>
      <c r="N44" s="101" t="s">
        <v>161</v>
      </c>
      <c r="O44" s="102" t="s">
        <v>171</v>
      </c>
      <c r="P44" s="101" t="s">
        <v>162</v>
      </c>
      <c r="Q44" s="102">
        <v>0</v>
      </c>
      <c r="R44" s="103">
        <v>2</v>
      </c>
      <c r="S44" s="104">
        <f>1/2*(100/10)^2</f>
        <v>50</v>
      </c>
      <c r="T44" s="102">
        <f t="shared" ref="T44:T46" si="34">Q44/R44</f>
        <v>0</v>
      </c>
      <c r="U44" s="102">
        <v>1</v>
      </c>
      <c r="V44" s="102">
        <f t="shared" ref="V44:V46" si="35">T44*U44</f>
        <v>0</v>
      </c>
      <c r="W44" s="102">
        <f t="shared" ref="W44:W46" si="36">V44^2</f>
        <v>0</v>
      </c>
      <c r="X44" s="102">
        <f t="shared" ref="X44:X46" si="37">V44^4/S44</f>
        <v>0</v>
      </c>
    </row>
    <row r="45" spans="2:24">
      <c r="B45" s="101" t="s">
        <v>163</v>
      </c>
      <c r="C45" s="102" t="s">
        <v>171</v>
      </c>
      <c r="D45" s="101" t="s">
        <v>164</v>
      </c>
      <c r="E45" s="102">
        <f>0.5*Skorsing!$D$11</f>
        <v>0.5</v>
      </c>
      <c r="F45" s="103">
        <f>SQRT(3)</f>
        <v>1.7320508075688772</v>
      </c>
      <c r="G45" s="104">
        <f t="shared" ref="G45:G46" si="38">1/2*(100/10)^2</f>
        <v>50</v>
      </c>
      <c r="H45" s="102">
        <f t="shared" si="30"/>
        <v>0.28867513459481292</v>
      </c>
      <c r="I45" s="102">
        <v>1</v>
      </c>
      <c r="J45" s="102">
        <f t="shared" si="31"/>
        <v>0.28867513459481292</v>
      </c>
      <c r="K45" s="102">
        <f t="shared" si="32"/>
        <v>8.3333333333333356E-2</v>
      </c>
      <c r="L45" s="102">
        <f t="shared" si="33"/>
        <v>1.3888888888888897E-4</v>
      </c>
      <c r="N45" s="101" t="s">
        <v>163</v>
      </c>
      <c r="O45" s="102" t="s">
        <v>171</v>
      </c>
      <c r="P45" s="101" t="s">
        <v>164</v>
      </c>
      <c r="Q45" s="102">
        <f>0.5*Skorsing!$D$11</f>
        <v>0.5</v>
      </c>
      <c r="R45" s="103">
        <f>SQRT(3)</f>
        <v>1.7320508075688772</v>
      </c>
      <c r="S45" s="104">
        <f t="shared" ref="S45:S46" si="39">1/2*(100/10)^2</f>
        <v>50</v>
      </c>
      <c r="T45" s="102">
        <f t="shared" si="34"/>
        <v>0.28867513459481292</v>
      </c>
      <c r="U45" s="102">
        <v>1</v>
      </c>
      <c r="V45" s="102">
        <f t="shared" si="35"/>
        <v>0.28867513459481292</v>
      </c>
      <c r="W45" s="102">
        <f t="shared" si="36"/>
        <v>8.3333333333333356E-2</v>
      </c>
      <c r="X45" s="102">
        <f t="shared" si="37"/>
        <v>1.3888888888888897E-4</v>
      </c>
    </row>
    <row r="46" spans="2:24">
      <c r="B46" s="101" t="s">
        <v>165</v>
      </c>
      <c r="C46" s="102" t="s">
        <v>171</v>
      </c>
      <c r="D46" s="101" t="s">
        <v>164</v>
      </c>
      <c r="E46" s="102">
        <v>0</v>
      </c>
      <c r="F46" s="103">
        <f>SQRT(3)</f>
        <v>1.7320508075688772</v>
      </c>
      <c r="G46" s="104">
        <f t="shared" si="38"/>
        <v>50</v>
      </c>
      <c r="H46" s="102">
        <f t="shared" si="30"/>
        <v>0</v>
      </c>
      <c r="I46" s="102">
        <v>1</v>
      </c>
      <c r="J46" s="102">
        <f t="shared" si="31"/>
        <v>0</v>
      </c>
      <c r="K46" s="102">
        <f t="shared" si="32"/>
        <v>0</v>
      </c>
      <c r="L46" s="102">
        <f t="shared" si="33"/>
        <v>0</v>
      </c>
      <c r="N46" s="101" t="s">
        <v>165</v>
      </c>
      <c r="O46" s="102" t="s">
        <v>171</v>
      </c>
      <c r="P46" s="101" t="s">
        <v>164</v>
      </c>
      <c r="Q46" s="102">
        <v>0</v>
      </c>
      <c r="R46" s="103">
        <f>SQRT(3)</f>
        <v>1.7320508075688772</v>
      </c>
      <c r="S46" s="104">
        <f t="shared" si="39"/>
        <v>50</v>
      </c>
      <c r="T46" s="102">
        <f t="shared" si="34"/>
        <v>0</v>
      </c>
      <c r="U46" s="102">
        <v>1</v>
      </c>
      <c r="V46" s="102">
        <f t="shared" si="35"/>
        <v>0</v>
      </c>
      <c r="W46" s="102">
        <f t="shared" si="36"/>
        <v>0</v>
      </c>
      <c r="X46" s="102">
        <f t="shared" si="37"/>
        <v>0</v>
      </c>
    </row>
    <row r="47" spans="2:24">
      <c r="B47" s="314" t="s">
        <v>166</v>
      </c>
      <c r="C47" s="314"/>
      <c r="D47" s="314"/>
      <c r="E47" s="314"/>
      <c r="F47" s="314"/>
      <c r="G47" s="314"/>
      <c r="H47" s="314"/>
      <c r="I47" s="314"/>
      <c r="J47" s="314"/>
      <c r="K47" s="101">
        <f>SUM(K43:K46)</f>
        <v>0.41666666666666552</v>
      </c>
      <c r="L47" s="102">
        <f>SUM(L43:L46)</f>
        <v>5.5694444444444054E-2</v>
      </c>
      <c r="N47" s="314" t="s">
        <v>166</v>
      </c>
      <c r="O47" s="314"/>
      <c r="P47" s="314"/>
      <c r="Q47" s="314"/>
      <c r="R47" s="314"/>
      <c r="S47" s="314"/>
      <c r="T47" s="314"/>
      <c r="U47" s="314"/>
      <c r="V47" s="314"/>
      <c r="W47" s="101">
        <f>SUM(W43:W46)</f>
        <v>0.41666666666666552</v>
      </c>
      <c r="X47" s="102">
        <f>SUM(X43:X46)</f>
        <v>5.5694444444444054E-2</v>
      </c>
    </row>
    <row r="48" spans="2:24">
      <c r="B48" s="314" t="s">
        <v>167</v>
      </c>
      <c r="C48" s="314"/>
      <c r="D48" s="314"/>
      <c r="E48" s="314"/>
      <c r="F48" s="314"/>
      <c r="G48" s="314"/>
      <c r="H48" s="314"/>
      <c r="I48" s="314"/>
      <c r="J48" s="314"/>
      <c r="K48" s="101">
        <f>SQRT(K47)</f>
        <v>0.64549722436790191</v>
      </c>
      <c r="L48" s="98"/>
      <c r="N48" s="314" t="s">
        <v>167</v>
      </c>
      <c r="O48" s="314"/>
      <c r="P48" s="314"/>
      <c r="Q48" s="314"/>
      <c r="R48" s="314"/>
      <c r="S48" s="314"/>
      <c r="T48" s="314"/>
      <c r="U48" s="314"/>
      <c r="V48" s="314"/>
      <c r="W48" s="101">
        <f>SQRT(W47)</f>
        <v>0.64549722436790191</v>
      </c>
      <c r="X48" s="98"/>
    </row>
    <row r="49" spans="2:24">
      <c r="B49" s="314" t="s">
        <v>168</v>
      </c>
      <c r="C49" s="314"/>
      <c r="D49" s="314"/>
      <c r="E49" s="314"/>
      <c r="F49" s="314"/>
      <c r="G49" s="314"/>
      <c r="H49" s="314"/>
      <c r="I49" s="314"/>
      <c r="J49" s="314"/>
      <c r="K49" s="101">
        <f>K48^4/L47</f>
        <v>3.1172069825436459</v>
      </c>
      <c r="L49" s="98"/>
      <c r="N49" s="314" t="s">
        <v>168</v>
      </c>
      <c r="O49" s="314"/>
      <c r="P49" s="314"/>
      <c r="Q49" s="314"/>
      <c r="R49" s="314"/>
      <c r="S49" s="314"/>
      <c r="T49" s="314"/>
      <c r="U49" s="314"/>
      <c r="V49" s="314"/>
      <c r="W49" s="101">
        <f>W48^4/X47</f>
        <v>3.1172069825436459</v>
      </c>
      <c r="X49" s="98"/>
    </row>
    <row r="50" spans="2:24">
      <c r="B50" s="314" t="s">
        <v>169</v>
      </c>
      <c r="C50" s="314"/>
      <c r="D50" s="314"/>
      <c r="E50" s="314"/>
      <c r="F50" s="314"/>
      <c r="G50" s="314"/>
      <c r="H50" s="314"/>
      <c r="I50" s="314"/>
      <c r="J50" s="314"/>
      <c r="K50" s="101">
        <f>TINV(0.05,K49)</f>
        <v>3.1824463052837091</v>
      </c>
      <c r="L50" s="98"/>
      <c r="N50" s="314" t="s">
        <v>169</v>
      </c>
      <c r="O50" s="314"/>
      <c r="P50" s="314"/>
      <c r="Q50" s="314"/>
      <c r="R50" s="314"/>
      <c r="S50" s="314"/>
      <c r="T50" s="314"/>
      <c r="U50" s="314"/>
      <c r="V50" s="314"/>
      <c r="W50" s="101">
        <f>TINV(0.05,W49)</f>
        <v>3.1824463052837091</v>
      </c>
      <c r="X50" s="98"/>
    </row>
    <row r="51" spans="2:24">
      <c r="B51" s="314" t="s">
        <v>170</v>
      </c>
      <c r="C51" s="314"/>
      <c r="D51" s="314"/>
      <c r="E51" s="314"/>
      <c r="F51" s="314"/>
      <c r="G51" s="314"/>
      <c r="H51" s="314"/>
      <c r="I51" s="314"/>
      <c r="J51" s="314"/>
      <c r="K51" s="105">
        <f>K50*K48</f>
        <v>2.0542602567605188</v>
      </c>
      <c r="L51" s="98"/>
      <c r="N51" s="314" t="s">
        <v>170</v>
      </c>
      <c r="O51" s="314"/>
      <c r="P51" s="314"/>
      <c r="Q51" s="314"/>
      <c r="R51" s="314"/>
      <c r="S51" s="314"/>
      <c r="T51" s="314"/>
      <c r="U51" s="314"/>
      <c r="V51" s="314"/>
      <c r="W51" s="105">
        <f>W50*W48</f>
        <v>2.0542602567605188</v>
      </c>
      <c r="X51" s="98"/>
    </row>
    <row r="54" spans="2:24">
      <c r="B54" t="s">
        <v>145</v>
      </c>
      <c r="N54" t="s">
        <v>146</v>
      </c>
    </row>
    <row r="55" spans="2:24">
      <c r="B55" s="99" t="s">
        <v>148</v>
      </c>
      <c r="C55" s="99" t="s">
        <v>149</v>
      </c>
      <c r="D55" s="99" t="s">
        <v>150</v>
      </c>
      <c r="E55" s="99" t="s">
        <v>151</v>
      </c>
      <c r="F55" s="99" t="s">
        <v>152</v>
      </c>
      <c r="G55" s="99" t="s">
        <v>153</v>
      </c>
      <c r="H55" s="99" t="s">
        <v>154</v>
      </c>
      <c r="I55" s="99" t="s">
        <v>155</v>
      </c>
      <c r="J55" s="99" t="s">
        <v>156</v>
      </c>
      <c r="K55" s="99" t="s">
        <v>157</v>
      </c>
      <c r="L55" s="100" t="s">
        <v>158</v>
      </c>
      <c r="N55" s="99" t="s">
        <v>148</v>
      </c>
      <c r="O55" s="99" t="s">
        <v>149</v>
      </c>
      <c r="P55" s="99" t="s">
        <v>150</v>
      </c>
      <c r="Q55" s="99" t="s">
        <v>151</v>
      </c>
      <c r="R55" s="99" t="s">
        <v>152</v>
      </c>
      <c r="S55" s="99" t="s">
        <v>153</v>
      </c>
      <c r="T55" s="99" t="s">
        <v>154</v>
      </c>
      <c r="U55" s="99" t="s">
        <v>155</v>
      </c>
      <c r="V55" s="99" t="s">
        <v>156</v>
      </c>
      <c r="W55" s="99" t="s">
        <v>157</v>
      </c>
      <c r="X55" s="100" t="s">
        <v>158</v>
      </c>
    </row>
    <row r="56" spans="2:24">
      <c r="B56" s="101" t="s">
        <v>159</v>
      </c>
      <c r="C56" s="102" t="s">
        <v>171</v>
      </c>
      <c r="D56" s="101" t="s">
        <v>160</v>
      </c>
      <c r="E56" s="103">
        <f>Skorsing!M62</f>
        <v>0.57735026918962473</v>
      </c>
      <c r="F56" s="103">
        <v>1</v>
      </c>
      <c r="G56" s="102">
        <v>2</v>
      </c>
      <c r="H56" s="102">
        <f>E56/F56</f>
        <v>0.57735026918962473</v>
      </c>
      <c r="I56" s="102">
        <v>1</v>
      </c>
      <c r="J56" s="102">
        <f>H56*I56</f>
        <v>0.57735026918962473</v>
      </c>
      <c r="K56" s="102">
        <f>J56^2</f>
        <v>0.33333333333333215</v>
      </c>
      <c r="L56" s="102">
        <f>J56^4/G56</f>
        <v>5.5555555555555164E-2</v>
      </c>
      <c r="N56" s="101" t="s">
        <v>159</v>
      </c>
      <c r="O56" s="102" t="s">
        <v>171</v>
      </c>
      <c r="P56" s="101" t="s">
        <v>160</v>
      </c>
      <c r="Q56" s="103">
        <f>Skorsing!M63</f>
        <v>0.57735026918962473</v>
      </c>
      <c r="R56" s="103">
        <v>1</v>
      </c>
      <c r="S56" s="102">
        <v>2</v>
      </c>
      <c r="T56" s="102">
        <f>Q56/R56</f>
        <v>0.57735026918962473</v>
      </c>
      <c r="U56" s="102">
        <v>1</v>
      </c>
      <c r="V56" s="102">
        <f>T56*U56</f>
        <v>0.57735026918962473</v>
      </c>
      <c r="W56" s="102">
        <f>V56^2</f>
        <v>0.33333333333333215</v>
      </c>
      <c r="X56" s="102">
        <f>V56^4/S56</f>
        <v>5.5555555555555164E-2</v>
      </c>
    </row>
    <row r="57" spans="2:24">
      <c r="B57" s="101" t="s">
        <v>161</v>
      </c>
      <c r="C57" s="102" t="s">
        <v>171</v>
      </c>
      <c r="D57" s="101" t="s">
        <v>162</v>
      </c>
      <c r="E57" s="102">
        <v>0</v>
      </c>
      <c r="F57" s="103">
        <v>2</v>
      </c>
      <c r="G57" s="104">
        <f>1/2*(100/10)^2</f>
        <v>50</v>
      </c>
      <c r="H57" s="102">
        <f t="shared" ref="H57:H59" si="40">E57/F57</f>
        <v>0</v>
      </c>
      <c r="I57" s="102">
        <v>1</v>
      </c>
      <c r="J57" s="102">
        <f t="shared" ref="J57:J59" si="41">H57*I57</f>
        <v>0</v>
      </c>
      <c r="K57" s="102">
        <f t="shared" ref="K57:K59" si="42">J57^2</f>
        <v>0</v>
      </c>
      <c r="L57" s="102">
        <f t="shared" ref="L57:L59" si="43">J57^4/G57</f>
        <v>0</v>
      </c>
      <c r="N57" s="101" t="s">
        <v>161</v>
      </c>
      <c r="O57" s="102" t="s">
        <v>171</v>
      </c>
      <c r="P57" s="101" t="s">
        <v>162</v>
      </c>
      <c r="Q57" s="102">
        <v>0</v>
      </c>
      <c r="R57" s="103">
        <v>2</v>
      </c>
      <c r="S57" s="104">
        <f>1/2*(100/10)^2</f>
        <v>50</v>
      </c>
      <c r="T57" s="102">
        <f t="shared" ref="T57:T59" si="44">Q57/R57</f>
        <v>0</v>
      </c>
      <c r="U57" s="102">
        <v>1</v>
      </c>
      <c r="V57" s="102">
        <f t="shared" ref="V57:V59" si="45">T57*U57</f>
        <v>0</v>
      </c>
      <c r="W57" s="102">
        <f t="shared" ref="W57:W59" si="46">V57^2</f>
        <v>0</v>
      </c>
      <c r="X57" s="102">
        <f t="shared" ref="X57:X59" si="47">V57^4/S57</f>
        <v>0</v>
      </c>
    </row>
    <row r="58" spans="2:24">
      <c r="B58" s="101" t="s">
        <v>163</v>
      </c>
      <c r="C58" s="102" t="s">
        <v>171</v>
      </c>
      <c r="D58" s="101" t="s">
        <v>164</v>
      </c>
      <c r="E58" s="102">
        <f>0.5*Skorsing!$D$11</f>
        <v>0.5</v>
      </c>
      <c r="F58" s="103">
        <f>SQRT(3)</f>
        <v>1.7320508075688772</v>
      </c>
      <c r="G58" s="104">
        <f t="shared" ref="G58:G59" si="48">1/2*(100/10)^2</f>
        <v>50</v>
      </c>
      <c r="H58" s="102">
        <f t="shared" si="40"/>
        <v>0.28867513459481292</v>
      </c>
      <c r="I58" s="102">
        <v>1</v>
      </c>
      <c r="J58" s="102">
        <f t="shared" si="41"/>
        <v>0.28867513459481292</v>
      </c>
      <c r="K58" s="102">
        <f t="shared" si="42"/>
        <v>8.3333333333333356E-2</v>
      </c>
      <c r="L58" s="102">
        <f t="shared" si="43"/>
        <v>1.3888888888888897E-4</v>
      </c>
      <c r="N58" s="101" t="s">
        <v>163</v>
      </c>
      <c r="O58" s="102" t="s">
        <v>171</v>
      </c>
      <c r="P58" s="101" t="s">
        <v>164</v>
      </c>
      <c r="Q58" s="102">
        <f>0.5*Skorsing!$D$11</f>
        <v>0.5</v>
      </c>
      <c r="R58" s="103">
        <f>SQRT(3)</f>
        <v>1.7320508075688772</v>
      </c>
      <c r="S58" s="104">
        <f t="shared" ref="S58:S59" si="49">1/2*(100/10)^2</f>
        <v>50</v>
      </c>
      <c r="T58" s="102">
        <f t="shared" si="44"/>
        <v>0.28867513459481292</v>
      </c>
      <c r="U58" s="102">
        <v>1</v>
      </c>
      <c r="V58" s="102">
        <f t="shared" si="45"/>
        <v>0.28867513459481292</v>
      </c>
      <c r="W58" s="102">
        <f t="shared" si="46"/>
        <v>8.3333333333333356E-2</v>
      </c>
      <c r="X58" s="102">
        <f t="shared" si="47"/>
        <v>1.3888888888888897E-4</v>
      </c>
    </row>
    <row r="59" spans="2:24">
      <c r="B59" s="101" t="s">
        <v>165</v>
      </c>
      <c r="C59" s="102" t="s">
        <v>171</v>
      </c>
      <c r="D59" s="101" t="s">
        <v>164</v>
      </c>
      <c r="E59" s="102">
        <v>0</v>
      </c>
      <c r="F59" s="103">
        <f>SQRT(3)</f>
        <v>1.7320508075688772</v>
      </c>
      <c r="G59" s="104">
        <f t="shared" si="48"/>
        <v>50</v>
      </c>
      <c r="H59" s="102">
        <f t="shared" si="40"/>
        <v>0</v>
      </c>
      <c r="I59" s="102">
        <v>1</v>
      </c>
      <c r="J59" s="102">
        <f t="shared" si="41"/>
        <v>0</v>
      </c>
      <c r="K59" s="102">
        <f t="shared" si="42"/>
        <v>0</v>
      </c>
      <c r="L59" s="102">
        <f t="shared" si="43"/>
        <v>0</v>
      </c>
      <c r="N59" s="101" t="s">
        <v>165</v>
      </c>
      <c r="O59" s="102" t="s">
        <v>171</v>
      </c>
      <c r="P59" s="101" t="s">
        <v>164</v>
      </c>
      <c r="Q59" s="102">
        <v>0</v>
      </c>
      <c r="R59" s="103">
        <f>SQRT(3)</f>
        <v>1.7320508075688772</v>
      </c>
      <c r="S59" s="104">
        <f t="shared" si="49"/>
        <v>50</v>
      </c>
      <c r="T59" s="102">
        <f t="shared" si="44"/>
        <v>0</v>
      </c>
      <c r="U59" s="102">
        <v>1</v>
      </c>
      <c r="V59" s="102">
        <f t="shared" si="45"/>
        <v>0</v>
      </c>
      <c r="W59" s="102">
        <f t="shared" si="46"/>
        <v>0</v>
      </c>
      <c r="X59" s="102">
        <f t="shared" si="47"/>
        <v>0</v>
      </c>
    </row>
    <row r="60" spans="2:24">
      <c r="B60" s="314" t="s">
        <v>166</v>
      </c>
      <c r="C60" s="314"/>
      <c r="D60" s="314"/>
      <c r="E60" s="314"/>
      <c r="F60" s="314"/>
      <c r="G60" s="314"/>
      <c r="H60" s="314"/>
      <c r="I60" s="314"/>
      <c r="J60" s="314"/>
      <c r="K60" s="101">
        <f>SUM(K56:K59)</f>
        <v>0.41666666666666552</v>
      </c>
      <c r="L60" s="102">
        <f>SUM(L56:L59)</f>
        <v>5.5694444444444054E-2</v>
      </c>
      <c r="N60" s="314" t="s">
        <v>166</v>
      </c>
      <c r="O60" s="314"/>
      <c r="P60" s="314"/>
      <c r="Q60" s="314"/>
      <c r="R60" s="314"/>
      <c r="S60" s="314"/>
      <c r="T60" s="314"/>
      <c r="U60" s="314"/>
      <c r="V60" s="314"/>
      <c r="W60" s="101">
        <f>SUM(W56:W59)</f>
        <v>0.41666666666666552</v>
      </c>
      <c r="X60" s="102">
        <f>SUM(X56:X59)</f>
        <v>5.5694444444444054E-2</v>
      </c>
    </row>
    <row r="61" spans="2:24">
      <c r="B61" s="314" t="s">
        <v>167</v>
      </c>
      <c r="C61" s="314"/>
      <c r="D61" s="314"/>
      <c r="E61" s="314"/>
      <c r="F61" s="314"/>
      <c r="G61" s="314"/>
      <c r="H61" s="314"/>
      <c r="I61" s="314"/>
      <c r="J61" s="314"/>
      <c r="K61" s="101">
        <f>SQRT(K60)</f>
        <v>0.64549722436790191</v>
      </c>
      <c r="L61" s="98"/>
      <c r="N61" s="314" t="s">
        <v>167</v>
      </c>
      <c r="O61" s="314"/>
      <c r="P61" s="314"/>
      <c r="Q61" s="314"/>
      <c r="R61" s="314"/>
      <c r="S61" s="314"/>
      <c r="T61" s="314"/>
      <c r="U61" s="314"/>
      <c r="V61" s="314"/>
      <c r="W61" s="101">
        <f>SQRT(W60)</f>
        <v>0.64549722436790191</v>
      </c>
      <c r="X61" s="98"/>
    </row>
    <row r="62" spans="2:24">
      <c r="B62" s="314" t="s">
        <v>168</v>
      </c>
      <c r="C62" s="314"/>
      <c r="D62" s="314"/>
      <c r="E62" s="314"/>
      <c r="F62" s="314"/>
      <c r="G62" s="314"/>
      <c r="H62" s="314"/>
      <c r="I62" s="314"/>
      <c r="J62" s="314"/>
      <c r="K62" s="101">
        <f>K61^4/L60</f>
        <v>3.1172069825436459</v>
      </c>
      <c r="L62" s="98"/>
      <c r="N62" s="314" t="s">
        <v>168</v>
      </c>
      <c r="O62" s="314"/>
      <c r="P62" s="314"/>
      <c r="Q62" s="314"/>
      <c r="R62" s="314"/>
      <c r="S62" s="314"/>
      <c r="T62" s="314"/>
      <c r="U62" s="314"/>
      <c r="V62" s="314"/>
      <c r="W62" s="101">
        <f>W61^4/X60</f>
        <v>3.1172069825436459</v>
      </c>
      <c r="X62" s="98"/>
    </row>
    <row r="63" spans="2:24">
      <c r="B63" s="314" t="s">
        <v>169</v>
      </c>
      <c r="C63" s="314"/>
      <c r="D63" s="314"/>
      <c r="E63" s="314"/>
      <c r="F63" s="314"/>
      <c r="G63" s="314"/>
      <c r="H63" s="314"/>
      <c r="I63" s="314"/>
      <c r="J63" s="314"/>
      <c r="K63" s="101">
        <f>TINV(0.05,K62)</f>
        <v>3.1824463052837091</v>
      </c>
      <c r="L63" s="98"/>
      <c r="N63" s="314" t="s">
        <v>169</v>
      </c>
      <c r="O63" s="314"/>
      <c r="P63" s="314"/>
      <c r="Q63" s="314"/>
      <c r="R63" s="314"/>
      <c r="S63" s="314"/>
      <c r="T63" s="314"/>
      <c r="U63" s="314"/>
      <c r="V63" s="314"/>
      <c r="W63" s="101">
        <f>TINV(0.05,W62)</f>
        <v>3.1824463052837091</v>
      </c>
      <c r="X63" s="98"/>
    </row>
    <row r="64" spans="2:24">
      <c r="B64" s="314" t="s">
        <v>170</v>
      </c>
      <c r="C64" s="314"/>
      <c r="D64" s="314"/>
      <c r="E64" s="314"/>
      <c r="F64" s="314"/>
      <c r="G64" s="314"/>
      <c r="H64" s="314"/>
      <c r="I64" s="314"/>
      <c r="J64" s="314"/>
      <c r="K64" s="105">
        <f>K63*K61</f>
        <v>2.0542602567605188</v>
      </c>
      <c r="L64" s="98"/>
      <c r="N64" s="314" t="s">
        <v>170</v>
      </c>
      <c r="O64" s="314"/>
      <c r="P64" s="314"/>
      <c r="Q64" s="314"/>
      <c r="R64" s="314"/>
      <c r="S64" s="314"/>
      <c r="T64" s="314"/>
      <c r="U64" s="314"/>
      <c r="V64" s="314"/>
      <c r="W64" s="105">
        <f>W63*W61</f>
        <v>2.0542602567605188</v>
      </c>
      <c r="X64" s="98"/>
    </row>
  </sheetData>
  <mergeCells count="50">
    <mergeCell ref="B60:J60"/>
    <mergeCell ref="B61:J61"/>
    <mergeCell ref="B62:J62"/>
    <mergeCell ref="B63:J63"/>
    <mergeCell ref="B64:J64"/>
    <mergeCell ref="N60:V60"/>
    <mergeCell ref="N61:V61"/>
    <mergeCell ref="N62:V62"/>
    <mergeCell ref="N63:V63"/>
    <mergeCell ref="N64:V64"/>
    <mergeCell ref="B47:J47"/>
    <mergeCell ref="B48:J48"/>
    <mergeCell ref="B49:J49"/>
    <mergeCell ref="B50:J50"/>
    <mergeCell ref="B51:J51"/>
    <mergeCell ref="N22:V22"/>
    <mergeCell ref="N23:V23"/>
    <mergeCell ref="N36:V36"/>
    <mergeCell ref="N37:V37"/>
    <mergeCell ref="N51:V51"/>
    <mergeCell ref="N24:V24"/>
    <mergeCell ref="N25:V25"/>
    <mergeCell ref="N34:V34"/>
    <mergeCell ref="N35:V35"/>
    <mergeCell ref="N38:V38"/>
    <mergeCell ref="N47:V47"/>
    <mergeCell ref="N48:V48"/>
    <mergeCell ref="N49:V49"/>
    <mergeCell ref="N50:V50"/>
    <mergeCell ref="B37:J37"/>
    <mergeCell ref="B38:J38"/>
    <mergeCell ref="N8:V8"/>
    <mergeCell ref="N9:V9"/>
    <mergeCell ref="N10:V10"/>
    <mergeCell ref="N11:V11"/>
    <mergeCell ref="N12:V12"/>
    <mergeCell ref="B22:J22"/>
    <mergeCell ref="B23:J23"/>
    <mergeCell ref="B24:J24"/>
    <mergeCell ref="B25:J25"/>
    <mergeCell ref="B34:J34"/>
    <mergeCell ref="B35:J35"/>
    <mergeCell ref="B8:J8"/>
    <mergeCell ref="B9:J9"/>
    <mergeCell ref="N21:V21"/>
    <mergeCell ref="B10:J10"/>
    <mergeCell ref="B11:J11"/>
    <mergeCell ref="B12:J12"/>
    <mergeCell ref="B21:J21"/>
    <mergeCell ref="B36:J3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D205F-33C9-4533-A3FC-C012BF1F1285}">
  <dimension ref="B2:T18"/>
  <sheetViews>
    <sheetView workbookViewId="0">
      <selection activeCell="I12" sqref="I12"/>
    </sheetView>
  </sheetViews>
  <sheetFormatPr defaultRowHeight="15"/>
  <cols>
    <col min="1" max="1" width="9.140625" style="34"/>
    <col min="2" max="2" width="11.85546875" style="34" customWidth="1"/>
    <col min="3" max="3" width="6" style="34" customWidth="1"/>
    <col min="4" max="4" width="16.42578125" style="34" customWidth="1"/>
    <col min="5" max="5" width="10.7109375" style="34" customWidth="1"/>
    <col min="6" max="6" width="15.7109375" style="34" customWidth="1"/>
    <col min="7" max="7" width="14.7109375" style="34" customWidth="1"/>
    <col min="8" max="8" width="16.140625" style="34" customWidth="1"/>
    <col min="9" max="9" width="13.28515625" style="34" customWidth="1"/>
    <col min="10" max="10" width="9.140625" style="34"/>
    <col min="11" max="11" width="11.85546875" style="34" customWidth="1"/>
    <col min="12" max="12" width="9.140625" style="34"/>
    <col min="13" max="13" width="10.5703125" style="34" customWidth="1"/>
    <col min="14" max="14" width="11.28515625" style="34" customWidth="1"/>
    <col min="15" max="15" width="12.85546875" style="34" customWidth="1"/>
    <col min="16" max="16" width="9.140625" style="34"/>
    <col min="17" max="17" width="11.42578125" style="34" customWidth="1"/>
    <col min="18" max="16384" width="9.140625" style="34"/>
  </cols>
  <sheetData>
    <row r="2" spans="2:20">
      <c r="B2" s="86">
        <v>1</v>
      </c>
      <c r="C2" s="86">
        <v>2</v>
      </c>
      <c r="D2" s="86">
        <v>3</v>
      </c>
      <c r="E2" s="86">
        <v>4</v>
      </c>
      <c r="F2" s="86">
        <v>5</v>
      </c>
      <c r="G2" s="86">
        <v>6</v>
      </c>
      <c r="H2" s="86">
        <v>7</v>
      </c>
      <c r="I2" s="86">
        <v>8</v>
      </c>
      <c r="J2" s="86">
        <v>9</v>
      </c>
      <c r="K2" s="86">
        <v>10</v>
      </c>
      <c r="L2" s="86">
        <v>11</v>
      </c>
      <c r="M2" s="86">
        <v>12</v>
      </c>
      <c r="N2" s="86">
        <v>13</v>
      </c>
      <c r="O2" s="86">
        <v>14</v>
      </c>
      <c r="P2" s="86">
        <v>15</v>
      </c>
      <c r="Q2" s="86">
        <v>16</v>
      </c>
      <c r="R2" s="86"/>
      <c r="S2" s="85"/>
      <c r="T2" s="85"/>
    </row>
    <row r="3" spans="2:20">
      <c r="B3" s="317" t="str">
        <f>[3]ARRAY!C5</f>
        <v>No. Seri</v>
      </c>
      <c r="C3" s="317" t="str">
        <f>[3]ARRAY!D5</f>
        <v>No</v>
      </c>
      <c r="D3" s="317" t="str">
        <f>[3]ARRAY!E5</f>
        <v>Merk</v>
      </c>
      <c r="E3" s="317" t="str">
        <f>[3]ARRAY!F5</f>
        <v>Type</v>
      </c>
      <c r="F3" s="317" t="str">
        <f>[3]ARRAY!G5</f>
        <v>Tanggal Kalibrasi</v>
      </c>
      <c r="G3" s="317" t="str">
        <f>[3]ARRAY!H5</f>
        <v>Tertelusur</v>
      </c>
      <c r="H3" s="315" t="str">
        <f>[3]ARRAY!I5</f>
        <v>Tegangan</v>
      </c>
      <c r="I3" s="316"/>
      <c r="J3" s="315" t="str">
        <f>[3]ARRAY!K5</f>
        <v>Arus DC (µA)</v>
      </c>
      <c r="K3" s="316"/>
      <c r="L3" s="315" t="str">
        <f>[3]ARRAY!M5</f>
        <v>Arus AC (µA)</v>
      </c>
      <c r="M3" s="316"/>
      <c r="N3" s="315" t="str">
        <f>[3]ARRAY!O5</f>
        <v>Resistansi Pembumian (Ω)</v>
      </c>
      <c r="O3" s="316"/>
      <c r="P3" s="315" t="str">
        <f>[3]ARRAY!Q5</f>
        <v>Resistansi Isolasi (MΩ)</v>
      </c>
      <c r="Q3" s="316"/>
      <c r="R3" s="86"/>
      <c r="S3" s="85"/>
      <c r="T3" s="85"/>
    </row>
    <row r="4" spans="2:20">
      <c r="B4" s="318"/>
      <c r="C4" s="318"/>
      <c r="D4" s="318"/>
      <c r="E4" s="318"/>
      <c r="F4" s="318"/>
      <c r="G4" s="318"/>
      <c r="H4" s="90" t="str">
        <f>[3]ARRAY!I6</f>
        <v>Intercept</v>
      </c>
      <c r="I4" s="90" t="str">
        <f>[3]ARRAY!J6</f>
        <v>Variabel X</v>
      </c>
      <c r="J4" s="90" t="str">
        <f>[3]ARRAY!K6</f>
        <v>Intercept</v>
      </c>
      <c r="K4" s="90" t="str">
        <f>[3]ARRAY!L6</f>
        <v>Variabel X</v>
      </c>
      <c r="L4" s="90" t="str">
        <f>[3]ARRAY!M6</f>
        <v>Intercept</v>
      </c>
      <c r="M4" s="90" t="str">
        <f>[3]ARRAY!N6</f>
        <v>Variabel X</v>
      </c>
      <c r="N4" s="90" t="str">
        <f>[3]ARRAY!O6</f>
        <v>Intercept</v>
      </c>
      <c r="O4" s="90" t="str">
        <f>[3]ARRAY!P6</f>
        <v>Variabel X</v>
      </c>
      <c r="P4" s="90" t="str">
        <f>[3]ARRAY!Q6</f>
        <v>Intercept</v>
      </c>
      <c r="Q4" s="90" t="str">
        <f>[3]ARRAY!R6</f>
        <v>Variabel X</v>
      </c>
      <c r="R4" s="86"/>
      <c r="S4" s="85"/>
      <c r="T4" s="85"/>
    </row>
    <row r="5" spans="2:20">
      <c r="B5" s="60">
        <f>[3]ARRAY!C7</f>
        <v>6579027</v>
      </c>
      <c r="C5" s="60">
        <f>[3]ARRAY!D7</f>
        <v>1</v>
      </c>
      <c r="D5" s="60" t="str">
        <f>[3]ARRAY!E7</f>
        <v>Fluke Biomedical</v>
      </c>
      <c r="E5" s="60" t="str">
        <f>[3]ARRAY!F7</f>
        <v>ESA16</v>
      </c>
      <c r="F5" s="72">
        <f>[3]ARRAY!G7</f>
        <v>45819</v>
      </c>
      <c r="G5" s="60" t="str">
        <f>[3]ARRAY!H7</f>
        <v>LK-110-IDN</v>
      </c>
      <c r="H5" s="60">
        <f>[3]ARRAY!I7</f>
        <v>0.18884843505782101</v>
      </c>
      <c r="I5" s="60">
        <f>[3]ARRAY!J7</f>
        <v>0.99976434070331921</v>
      </c>
      <c r="J5" s="60">
        <f>[3]ARRAY!K7</f>
        <v>8.3113755394208511E-3</v>
      </c>
      <c r="K5" s="60">
        <f>[3]ARRAY!L7</f>
        <v>0.99798390215914468</v>
      </c>
      <c r="L5" s="60">
        <f>[3]ARRAY!M7</f>
        <v>1.109276060012121E-2</v>
      </c>
      <c r="M5" s="60">
        <f>[3]ARRAY!N7</f>
        <v>1.0019062227988453</v>
      </c>
      <c r="N5" s="60">
        <f>[3]ARRAY!O7</f>
        <v>-8.4833373595444295E-3</v>
      </c>
      <c r="O5" s="60">
        <f>[3]ARRAY!P7</f>
        <v>1.0005091922739648</v>
      </c>
      <c r="P5" s="60">
        <f>[3]ARRAY!Q7</f>
        <v>0</v>
      </c>
      <c r="Q5" s="60">
        <f>[3]ARRAY!R7</f>
        <v>1</v>
      </c>
      <c r="R5" s="86"/>
      <c r="S5" s="85"/>
      <c r="T5" s="85"/>
    </row>
    <row r="6" spans="2:20">
      <c r="B6" s="86"/>
      <c r="C6" s="86"/>
      <c r="D6" s="86"/>
      <c r="E6" s="86"/>
      <c r="F6" s="86"/>
      <c r="G6" s="86"/>
      <c r="H6" s="86"/>
      <c r="I6" s="86"/>
      <c r="J6" s="86"/>
      <c r="K6" s="86"/>
      <c r="L6" s="86"/>
      <c r="M6" s="86"/>
      <c r="N6" s="86"/>
      <c r="O6" s="86"/>
      <c r="P6" s="86"/>
      <c r="Q6" s="86"/>
      <c r="R6" s="86"/>
      <c r="S6" s="85"/>
      <c r="T6" s="85"/>
    </row>
    <row r="7" spans="2:20">
      <c r="B7" s="86"/>
      <c r="C7" s="86"/>
      <c r="D7" s="86"/>
      <c r="E7" s="86"/>
      <c r="F7" s="86"/>
      <c r="G7" s="86"/>
      <c r="H7" s="86"/>
      <c r="I7" s="86"/>
      <c r="J7" s="86"/>
      <c r="K7" s="86"/>
      <c r="L7" s="86"/>
      <c r="M7" s="86"/>
      <c r="N7" s="86"/>
      <c r="O7" s="86"/>
      <c r="P7" s="86"/>
      <c r="Q7" s="86"/>
      <c r="R7" s="86"/>
      <c r="S7" s="85"/>
      <c r="T7" s="85"/>
    </row>
    <row r="8" spans="2:20">
      <c r="B8" s="86"/>
      <c r="C8" s="86"/>
      <c r="D8" s="86"/>
      <c r="E8" s="86"/>
      <c r="F8" s="86"/>
      <c r="G8" s="86"/>
      <c r="H8" s="86"/>
      <c r="I8" s="86"/>
      <c r="J8" s="86"/>
      <c r="K8" s="86"/>
      <c r="L8" s="86"/>
      <c r="M8" s="86"/>
      <c r="N8" s="86"/>
      <c r="O8" s="86"/>
      <c r="P8" s="86"/>
      <c r="Q8" s="86"/>
      <c r="R8" s="86"/>
      <c r="S8" s="85"/>
      <c r="T8" s="85"/>
    </row>
    <row r="9" spans="2:20">
      <c r="B9" s="86"/>
      <c r="C9" s="86"/>
      <c r="D9" s="86"/>
      <c r="E9" s="86"/>
      <c r="F9" s="86"/>
      <c r="G9" s="86"/>
      <c r="H9" s="86"/>
      <c r="I9" s="86"/>
      <c r="J9" s="86"/>
      <c r="K9" s="86"/>
      <c r="L9" s="86"/>
      <c r="M9" s="86"/>
      <c r="N9" s="86"/>
      <c r="O9" s="86"/>
      <c r="P9" s="86"/>
      <c r="Q9" s="86"/>
      <c r="R9" s="86"/>
      <c r="S9" s="85"/>
      <c r="T9" s="85"/>
    </row>
    <row r="10" spans="2:20">
      <c r="B10" s="86">
        <v>1</v>
      </c>
      <c r="C10" s="86">
        <v>2</v>
      </c>
      <c r="D10" s="86">
        <v>3</v>
      </c>
      <c r="E10" s="86">
        <v>4</v>
      </c>
      <c r="F10" s="86">
        <v>5</v>
      </c>
      <c r="G10" s="86">
        <v>6</v>
      </c>
      <c r="H10" s="86">
        <v>7</v>
      </c>
      <c r="I10" s="86">
        <v>8</v>
      </c>
      <c r="J10" s="86"/>
      <c r="K10" s="86"/>
      <c r="L10" s="86"/>
      <c r="M10" s="86"/>
      <c r="N10" s="86"/>
      <c r="O10" s="86"/>
      <c r="P10" s="86"/>
      <c r="Q10" s="86"/>
      <c r="R10" s="86"/>
      <c r="S10" s="85"/>
      <c r="T10" s="85"/>
    </row>
    <row r="11" spans="2:20" ht="43.5" customHeight="1">
      <c r="B11" s="90" t="str">
        <f>B3</f>
        <v>No. Seri</v>
      </c>
      <c r="C11" s="90" t="str">
        <f>C3</f>
        <v>No</v>
      </c>
      <c r="D11" s="90" t="str">
        <f>D3</f>
        <v>Merk</v>
      </c>
      <c r="E11" s="90" t="str">
        <f>E3</f>
        <v>Type</v>
      </c>
      <c r="F11" s="90" t="s">
        <v>35</v>
      </c>
      <c r="G11" s="89" t="s">
        <v>135</v>
      </c>
      <c r="H11" s="89" t="s">
        <v>134</v>
      </c>
      <c r="I11" s="89" t="s">
        <v>133</v>
      </c>
      <c r="J11" s="86"/>
      <c r="K11" s="86"/>
      <c r="L11" s="86"/>
      <c r="M11" s="86"/>
      <c r="N11" s="86"/>
      <c r="O11" s="86"/>
      <c r="P11" s="86"/>
      <c r="Q11" s="86"/>
      <c r="R11" s="86"/>
      <c r="S11" s="85"/>
      <c r="T11" s="85"/>
    </row>
    <row r="12" spans="2:20">
      <c r="B12" s="60">
        <f>B5</f>
        <v>6579027</v>
      </c>
      <c r="C12" s="60">
        <f>C5</f>
        <v>1</v>
      </c>
      <c r="D12" s="60" t="str">
        <f>D5</f>
        <v>Fluke Biomedical</v>
      </c>
      <c r="E12" s="60" t="str">
        <f>E5</f>
        <v>ESA16</v>
      </c>
      <c r="F12" s="88">
        <f>VLOOKUP(Skorsing!G17,ESA!B5:Q5,7,FALSE)+VLOOKUP(Skorsing!G17,ESA!B5:Q5,8,FALSE)*Skorsing!E25</f>
        <v>221.23674416456169</v>
      </c>
      <c r="G12" s="88">
        <f>VLOOKUP(Skorsing!G17,ESA!B5:Q5,11,FALSE)+VLOOKUP(Skorsing!G17,ESA!B5:Q5,12,FALSE)*Skorsing!F48</f>
        <v>0.91280836111908203</v>
      </c>
      <c r="H12" s="87">
        <f>VLOOKUP(Skorsing!G17,ESA!B5:Q5,13,FALSE)+VLOOKUP(Skorsing!G17,ESA!B5:Q5,14,FALSE)*Skorsing!F46</f>
        <v>0.22263428605574145</v>
      </c>
      <c r="I12" s="60" t="str">
        <f>Skorsing!F47</f>
        <v>OR</v>
      </c>
      <c r="J12" s="86"/>
      <c r="K12" s="86"/>
      <c r="L12" s="86"/>
      <c r="M12" s="86"/>
      <c r="N12" s="86"/>
      <c r="O12" s="86"/>
      <c r="P12" s="86"/>
      <c r="Q12" s="86"/>
      <c r="R12" s="86"/>
      <c r="S12" s="85"/>
      <c r="T12" s="85"/>
    </row>
    <row r="13" spans="2:20">
      <c r="B13" s="86"/>
      <c r="C13" s="86"/>
      <c r="D13" s="86"/>
      <c r="E13" s="86"/>
      <c r="F13" s="86"/>
      <c r="G13" s="86"/>
      <c r="H13" s="86"/>
      <c r="I13" s="86"/>
      <c r="J13" s="86"/>
      <c r="K13" s="86"/>
      <c r="L13" s="86"/>
      <c r="M13" s="86"/>
      <c r="N13" s="86"/>
      <c r="O13" s="86"/>
      <c r="P13" s="86"/>
      <c r="Q13" s="86"/>
      <c r="R13" s="86"/>
      <c r="S13" s="85"/>
      <c r="T13" s="85"/>
    </row>
    <row r="14" spans="2:20">
      <c r="B14" s="86"/>
      <c r="C14" s="86"/>
      <c r="D14" s="86"/>
      <c r="E14" s="86"/>
      <c r="F14" s="86"/>
      <c r="G14" s="86"/>
      <c r="H14" s="86"/>
      <c r="I14" s="86"/>
      <c r="J14" s="86"/>
      <c r="K14" s="86"/>
      <c r="L14" s="86"/>
      <c r="M14" s="86"/>
      <c r="N14" s="86"/>
      <c r="O14" s="86"/>
      <c r="P14" s="86"/>
      <c r="Q14" s="86"/>
      <c r="R14" s="86"/>
      <c r="S14" s="85"/>
      <c r="T14" s="85"/>
    </row>
    <row r="15" spans="2:20">
      <c r="B15" s="86"/>
      <c r="C15" s="86"/>
      <c r="D15" s="86"/>
      <c r="E15" s="86"/>
      <c r="F15" s="86"/>
      <c r="G15" s="86"/>
      <c r="H15" s="86"/>
      <c r="I15" s="86"/>
      <c r="J15" s="86"/>
      <c r="K15" s="86"/>
      <c r="L15" s="86"/>
      <c r="M15" s="86"/>
      <c r="N15" s="86"/>
      <c r="O15" s="86"/>
      <c r="P15" s="86"/>
      <c r="Q15" s="86"/>
      <c r="R15" s="86"/>
      <c r="S15" s="85"/>
      <c r="T15" s="85"/>
    </row>
    <row r="16" spans="2:20">
      <c r="B16" s="84"/>
      <c r="C16" s="84"/>
      <c r="D16" s="84"/>
      <c r="E16" s="84"/>
      <c r="F16" s="84"/>
      <c r="G16" s="84"/>
      <c r="H16" s="84"/>
      <c r="I16" s="84"/>
      <c r="J16" s="84"/>
      <c r="K16" s="84"/>
      <c r="L16" s="84"/>
      <c r="M16" s="84"/>
      <c r="N16" s="84"/>
      <c r="O16" s="84"/>
      <c r="P16" s="84"/>
      <c r="Q16" s="84"/>
      <c r="R16" s="84"/>
    </row>
    <row r="17" spans="2:18">
      <c r="B17" s="84"/>
      <c r="C17" s="84"/>
      <c r="D17" s="84"/>
      <c r="E17" s="84"/>
      <c r="F17" s="84"/>
      <c r="G17" s="84"/>
      <c r="H17" s="84"/>
      <c r="I17" s="84"/>
      <c r="J17" s="84"/>
      <c r="K17" s="84"/>
      <c r="L17" s="84"/>
      <c r="M17" s="84"/>
      <c r="N17" s="84"/>
      <c r="O17" s="84"/>
      <c r="P17" s="84"/>
      <c r="Q17" s="84"/>
      <c r="R17" s="84"/>
    </row>
    <row r="18" spans="2:18">
      <c r="B18" s="84"/>
      <c r="C18" s="84"/>
      <c r="D18" s="84"/>
      <c r="E18" s="84"/>
      <c r="F18" s="84"/>
      <c r="G18" s="84"/>
      <c r="H18" s="84"/>
      <c r="I18" s="84"/>
      <c r="J18" s="84"/>
      <c r="K18" s="84"/>
      <c r="L18" s="84"/>
      <c r="M18" s="84"/>
      <c r="N18" s="84"/>
      <c r="O18" s="84"/>
      <c r="P18" s="84"/>
      <c r="Q18" s="84"/>
      <c r="R18" s="84"/>
    </row>
  </sheetData>
  <mergeCells count="11">
    <mergeCell ref="G3:G4"/>
    <mergeCell ref="B3:B4"/>
    <mergeCell ref="C3:C4"/>
    <mergeCell ref="D3:D4"/>
    <mergeCell ref="E3:E4"/>
    <mergeCell ref="F3:F4"/>
    <mergeCell ref="H3:I3"/>
    <mergeCell ref="J3:K3"/>
    <mergeCell ref="L3:M3"/>
    <mergeCell ref="N3:O3"/>
    <mergeCell ref="P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0D5D2-8C66-48D7-901C-C4D2E7D437A2}">
  <dimension ref="A1:J72"/>
  <sheetViews>
    <sheetView workbookViewId="0">
      <selection activeCell="C35" sqref="C35:E36"/>
    </sheetView>
  </sheetViews>
  <sheetFormatPr defaultRowHeight="15"/>
  <cols>
    <col min="2" max="2" width="16.5703125" customWidth="1"/>
    <col min="3" max="3" width="27.28515625" customWidth="1"/>
    <col min="4" max="4" width="24" customWidth="1"/>
    <col min="5" max="5" width="19.85546875" customWidth="1"/>
    <col min="6" max="6" width="18.7109375" customWidth="1"/>
  </cols>
  <sheetData>
    <row r="1" spans="1:10">
      <c r="A1" s="1"/>
      <c r="B1" s="1"/>
      <c r="C1" s="1"/>
      <c r="D1" s="1"/>
      <c r="E1" s="1"/>
      <c r="F1" s="1"/>
      <c r="G1" s="1"/>
      <c r="H1" s="1"/>
      <c r="I1" s="111"/>
      <c r="J1" s="111"/>
    </row>
    <row r="2" spans="1:10">
      <c r="A2" s="1"/>
      <c r="B2" s="266" t="str">
        <f>'Input data'!D6</f>
        <v>Urine Analyzer</v>
      </c>
      <c r="C2" s="266"/>
      <c r="D2" s="266"/>
      <c r="E2" s="266"/>
      <c r="F2" s="266"/>
      <c r="G2" s="266"/>
      <c r="H2" s="4"/>
      <c r="I2" s="111"/>
      <c r="J2" s="111"/>
    </row>
    <row r="3" spans="1:10">
      <c r="A3" s="1"/>
      <c r="B3" s="91"/>
      <c r="C3" s="91"/>
      <c r="D3" s="91"/>
      <c r="E3" s="91"/>
      <c r="F3" s="6"/>
      <c r="G3" s="91"/>
      <c r="H3" s="91"/>
      <c r="I3" s="111"/>
      <c r="J3" s="111"/>
    </row>
    <row r="4" spans="1:10">
      <c r="A4" s="7" t="s">
        <v>0</v>
      </c>
      <c r="B4" s="3"/>
      <c r="C4" s="8"/>
      <c r="D4" s="8"/>
      <c r="E4" s="8"/>
      <c r="F4" s="8"/>
      <c r="G4" s="8"/>
      <c r="H4" s="8"/>
      <c r="I4" s="111"/>
      <c r="J4" s="111"/>
    </row>
    <row r="5" spans="1:10">
      <c r="A5" s="1"/>
      <c r="B5" s="2" t="s">
        <v>173</v>
      </c>
      <c r="C5" s="112" t="str">
        <f>'Input data'!D5</f>
        <v>S.612</v>
      </c>
      <c r="D5" s="2" t="s">
        <v>132</v>
      </c>
      <c r="E5" s="230">
        <f>'Input data'!D11</f>
        <v>1</v>
      </c>
      <c r="F5" s="232"/>
      <c r="G5" s="111"/>
      <c r="H5" s="111"/>
      <c r="I5" s="111"/>
      <c r="J5" s="111"/>
    </row>
    <row r="6" spans="1:10">
      <c r="A6" s="1"/>
      <c r="B6" s="2" t="s">
        <v>3</v>
      </c>
      <c r="C6" s="112" t="str">
        <f>'Input data'!D6</f>
        <v>Urine Analyzer</v>
      </c>
      <c r="D6" s="2" t="s">
        <v>174</v>
      </c>
      <c r="E6" s="332">
        <f>'Input data'!D10</f>
        <v>0</v>
      </c>
      <c r="F6" s="232"/>
      <c r="G6" s="111"/>
      <c r="H6" s="111"/>
      <c r="I6" s="111"/>
      <c r="J6" s="111"/>
    </row>
    <row r="7" spans="1:10">
      <c r="A7" s="1"/>
      <c r="B7" s="2"/>
      <c r="C7" s="112"/>
      <c r="D7" s="2" t="s">
        <v>175</v>
      </c>
      <c r="E7" s="230" t="str">
        <f>'Input data'!H6</f>
        <v>PT. Presisi Kalibrasi Medika</v>
      </c>
      <c r="F7" s="232"/>
      <c r="G7" s="111"/>
      <c r="H7" s="111"/>
      <c r="I7" s="111"/>
      <c r="J7" s="111"/>
    </row>
    <row r="8" spans="1:10">
      <c r="A8" s="1"/>
      <c r="B8" s="2" t="s">
        <v>5</v>
      </c>
      <c r="C8" s="112" t="str">
        <f>'Input data'!D7</f>
        <v>SM</v>
      </c>
      <c r="D8" s="1" t="s">
        <v>176</v>
      </c>
      <c r="E8" s="230">
        <f>'Input data'!H8</f>
        <v>46266</v>
      </c>
      <c r="F8" s="232"/>
      <c r="G8" s="111"/>
      <c r="H8" s="111"/>
      <c r="I8" s="111"/>
      <c r="J8" s="111"/>
    </row>
    <row r="9" spans="1:10">
      <c r="A9" s="1"/>
      <c r="B9" s="2" t="s">
        <v>7</v>
      </c>
      <c r="C9" s="112" t="str">
        <f>'Input data'!D8</f>
        <v>SM S-600</v>
      </c>
      <c r="D9" s="2" t="s">
        <v>124</v>
      </c>
      <c r="E9" s="230">
        <f>'Input data'!H9</f>
        <v>46266</v>
      </c>
      <c r="F9" s="232"/>
      <c r="G9" s="111"/>
      <c r="H9" s="111"/>
      <c r="I9" s="111"/>
      <c r="J9" s="111"/>
    </row>
    <row r="10" spans="1:10">
      <c r="A10" s="1"/>
      <c r="B10" s="2" t="s">
        <v>9</v>
      </c>
      <c r="C10" s="112">
        <f>'Input data'!D9</f>
        <v>111</v>
      </c>
      <c r="D10" s="2" t="s">
        <v>177</v>
      </c>
      <c r="E10" s="230" t="str">
        <f>'Input data'!H10</f>
        <v>el</v>
      </c>
      <c r="F10" s="232"/>
      <c r="G10" s="111"/>
      <c r="H10" s="111"/>
      <c r="I10" s="111"/>
      <c r="J10" s="111"/>
    </row>
    <row r="11" spans="1:10">
      <c r="A11" s="1"/>
      <c r="B11" s="2"/>
      <c r="C11" s="2"/>
      <c r="D11" s="1"/>
      <c r="E11" s="1"/>
      <c r="F11" s="1"/>
      <c r="G11" s="1"/>
      <c r="H11" s="1"/>
      <c r="I11" s="2"/>
      <c r="J11" s="1"/>
    </row>
    <row r="12" spans="1:10">
      <c r="A12" s="1"/>
      <c r="B12" s="2"/>
      <c r="C12" s="2"/>
      <c r="D12" s="1"/>
      <c r="E12" s="2"/>
      <c r="F12" s="2"/>
      <c r="G12" s="20"/>
      <c r="H12" s="1"/>
      <c r="I12" s="2"/>
      <c r="J12" s="1"/>
    </row>
    <row r="13" spans="1:10">
      <c r="A13" s="21" t="s">
        <v>13</v>
      </c>
      <c r="B13" s="3"/>
      <c r="C13" s="6"/>
      <c r="D13" s="22"/>
      <c r="E13" s="23"/>
      <c r="F13" s="6"/>
      <c r="G13" s="1"/>
      <c r="H13" s="1"/>
      <c r="I13" s="2"/>
      <c r="J13" s="1"/>
    </row>
    <row r="14" spans="1:10">
      <c r="A14" s="113" t="s">
        <v>14</v>
      </c>
      <c r="B14" s="327" t="s">
        <v>15</v>
      </c>
      <c r="C14" s="328"/>
      <c r="D14" s="114" t="s">
        <v>16</v>
      </c>
      <c r="E14" s="113" t="s">
        <v>178</v>
      </c>
      <c r="F14" s="115" t="s">
        <v>18</v>
      </c>
      <c r="G14" s="1"/>
      <c r="H14" s="1"/>
      <c r="I14" s="111"/>
      <c r="J14" s="111"/>
    </row>
    <row r="15" spans="1:10">
      <c r="A15" s="92">
        <v>1</v>
      </c>
      <c r="B15" s="218" t="str">
        <f>Skorsing!C16</f>
        <v xml:space="preserve"> Kontrol Standard / CRM</v>
      </c>
      <c r="C15" s="220"/>
      <c r="D15" s="116" t="str">
        <f>Skorsing!E16</f>
        <v>-</v>
      </c>
      <c r="E15" s="116" t="str">
        <f>Skorsing!F16</f>
        <v>-</v>
      </c>
      <c r="F15" s="116" t="str">
        <f>Skorsing!G16</f>
        <v>-</v>
      </c>
      <c r="G15" s="1"/>
      <c r="H15" s="1"/>
      <c r="I15" s="111"/>
      <c r="J15" s="111"/>
    </row>
    <row r="16" spans="1:10">
      <c r="A16" s="92">
        <v>2</v>
      </c>
      <c r="B16" s="218" t="str">
        <f>Skorsing!C17</f>
        <v>Electrical Safety Analyzer</v>
      </c>
      <c r="C16" s="220"/>
      <c r="D16" s="116" t="str">
        <f>Skorsing!E17</f>
        <v>Fluke Biomedical</v>
      </c>
      <c r="E16" s="116" t="str">
        <f>Skorsing!F17</f>
        <v>ESA612</v>
      </c>
      <c r="F16" s="116">
        <f>Skorsing!G17</f>
        <v>6579027</v>
      </c>
      <c r="G16" s="1"/>
      <c r="H16" s="1"/>
      <c r="I16" s="111"/>
      <c r="J16" s="111"/>
    </row>
    <row r="17" spans="1:10">
      <c r="A17" s="92">
        <v>3</v>
      </c>
      <c r="B17" s="218" t="str">
        <f>Skorsing!C18</f>
        <v>Thermohygrometer</v>
      </c>
      <c r="C17" s="220"/>
      <c r="D17" s="116" t="str">
        <f>Skorsing!E18</f>
        <v>Taffware</v>
      </c>
      <c r="E17" s="116" t="str">
        <f>Skorsing!F18</f>
        <v>HTC-1</v>
      </c>
      <c r="F17" s="116" t="str">
        <f>Skorsing!G18</f>
        <v>TH-01</v>
      </c>
      <c r="G17" s="1"/>
      <c r="H17" s="1"/>
      <c r="I17" s="111"/>
      <c r="J17" s="111"/>
    </row>
    <row r="18" spans="1:10">
      <c r="A18" s="1"/>
      <c r="B18" s="21"/>
      <c r="C18" s="6"/>
      <c r="D18" s="22"/>
      <c r="E18" s="23"/>
      <c r="F18" s="6"/>
      <c r="G18" s="1"/>
      <c r="H18" s="1"/>
      <c r="I18" s="111"/>
      <c r="J18" s="111"/>
    </row>
    <row r="19" spans="1:10">
      <c r="A19" s="7" t="s">
        <v>26</v>
      </c>
      <c r="B19" s="3"/>
      <c r="C19" s="1"/>
      <c r="D19" s="1"/>
      <c r="E19" s="1"/>
      <c r="F19" s="32"/>
      <c r="G19" s="1"/>
      <c r="H19" s="2"/>
      <c r="I19" s="111"/>
      <c r="J19" s="111"/>
    </row>
    <row r="20" spans="1:10">
      <c r="A20" s="1"/>
      <c r="B20" s="117" t="s">
        <v>27</v>
      </c>
      <c r="C20" s="118" t="s">
        <v>111</v>
      </c>
      <c r="D20" s="119" t="s">
        <v>129</v>
      </c>
      <c r="E20" s="111"/>
      <c r="F20" s="111"/>
      <c r="G20" s="111"/>
      <c r="H20" s="111"/>
      <c r="I20" s="111"/>
      <c r="J20" s="111"/>
    </row>
    <row r="21" spans="1:10">
      <c r="A21" s="1"/>
      <c r="B21" s="120" t="s">
        <v>31</v>
      </c>
      <c r="C21" s="121">
        <f>Skorsing!H23</f>
        <v>23.750549346016644</v>
      </c>
      <c r="D21" s="121">
        <f>Skorsing!I23</f>
        <v>0.5</v>
      </c>
      <c r="E21" s="111"/>
      <c r="F21" s="111"/>
      <c r="G21" s="111"/>
      <c r="H21" s="111"/>
      <c r="I21" s="111"/>
      <c r="J21" s="111"/>
    </row>
    <row r="22" spans="1:10">
      <c r="A22" s="1"/>
      <c r="B22" s="37" t="s">
        <v>33</v>
      </c>
      <c r="C22" s="121">
        <f>Skorsing!H24</f>
        <v>53.618909090909092</v>
      </c>
      <c r="D22" s="121">
        <f>Skorsing!I24</f>
        <v>2.7</v>
      </c>
      <c r="E22" s="111"/>
      <c r="F22" s="111"/>
      <c r="G22" s="111"/>
      <c r="H22" s="111"/>
      <c r="I22" s="111"/>
      <c r="J22" s="111"/>
    </row>
    <row r="23" spans="1:10">
      <c r="A23" s="1"/>
      <c r="B23" s="37" t="s">
        <v>35</v>
      </c>
      <c r="C23" s="121">
        <f>Skorsing!H25</f>
        <v>221.23674416456169</v>
      </c>
      <c r="D23" s="34"/>
      <c r="E23" s="111"/>
      <c r="F23" s="111"/>
      <c r="G23" s="111"/>
      <c r="H23" s="111"/>
      <c r="I23" s="111"/>
      <c r="J23" s="111"/>
    </row>
    <row r="24" spans="1:10">
      <c r="A24" s="1"/>
      <c r="B24" s="6"/>
      <c r="C24" s="23"/>
      <c r="D24" s="6"/>
      <c r="E24" s="6"/>
      <c r="F24" s="6"/>
      <c r="G24" s="1"/>
      <c r="H24" s="1"/>
      <c r="I24" s="111"/>
      <c r="J24" s="111"/>
    </row>
    <row r="25" spans="1:10">
      <c r="A25" s="21" t="s">
        <v>40</v>
      </c>
      <c r="B25" s="3"/>
      <c r="C25" s="23"/>
      <c r="D25" s="6"/>
      <c r="E25" s="6"/>
      <c r="F25" s="6"/>
      <c r="G25" s="1"/>
      <c r="H25" s="1"/>
      <c r="I25" s="111"/>
      <c r="J25" s="111"/>
    </row>
    <row r="26" spans="1:10">
      <c r="A26" s="21"/>
      <c r="B26" s="122" t="s">
        <v>41</v>
      </c>
      <c r="C26" s="329" t="s">
        <v>42</v>
      </c>
      <c r="D26" s="330"/>
      <c r="E26" s="331"/>
      <c r="F26" s="122" t="s">
        <v>43</v>
      </c>
      <c r="G26" s="1"/>
      <c r="H26" s="1"/>
      <c r="I26" s="111"/>
      <c r="J26" s="111"/>
    </row>
    <row r="27" spans="1:10">
      <c r="A27" s="21"/>
      <c r="B27" s="248" t="str">
        <f>'Input data'!C30</f>
        <v>Badan Permukaan</v>
      </c>
      <c r="C27" s="321" t="str">
        <f>'Input data'!D30</f>
        <v>Selungkup utuh, bersih, terpasang ketat satu dan yang lainnya serta tidak ada bekas tertimpa cairan ataupun gangguan</v>
      </c>
      <c r="D27" s="322"/>
      <c r="E27" s="323"/>
      <c r="F27" s="248" t="str">
        <f>IF(Skorsing!G32=1,"BAIK","TIDAK BAIK")</f>
        <v>BAIK</v>
      </c>
      <c r="G27" s="1"/>
      <c r="H27" s="1"/>
      <c r="I27" s="111"/>
      <c r="J27" s="111"/>
    </row>
    <row r="28" spans="1:10">
      <c r="A28" s="21"/>
      <c r="B28" s="248"/>
      <c r="C28" s="324"/>
      <c r="D28" s="325"/>
      <c r="E28" s="326"/>
      <c r="F28" s="248"/>
      <c r="G28" s="1"/>
      <c r="H28" s="1"/>
      <c r="I28" s="111"/>
      <c r="J28" s="111"/>
    </row>
    <row r="29" spans="1:10">
      <c r="A29" s="21"/>
      <c r="B29" s="248" t="str">
        <f>'Input data'!C32</f>
        <v>Kotak kontak alat</v>
      </c>
      <c r="C29" s="321" t="str">
        <f>'Input data'!D32</f>
        <v>periksa apakah ada gangguan pada kotak kontak (AC-Power). Gerak-gerakkan kotak kontak untuk memastikan keamanannya. 
Goyang-goyangkan kotak kontak untuk memastikan tidak ada baut atau mur yang longgar.</v>
      </c>
      <c r="D29" s="322"/>
      <c r="E29" s="323"/>
      <c r="F29" s="248" t="str">
        <f>IF(Skorsing!G34=1,"BAIK","TIDAK BAIK")</f>
        <v>BAIK</v>
      </c>
      <c r="G29" s="1"/>
      <c r="H29" s="1"/>
      <c r="I29" s="111"/>
      <c r="J29" s="111"/>
    </row>
    <row r="30" spans="1:10" ht="25.5" customHeight="1">
      <c r="A30" s="21"/>
      <c r="B30" s="248"/>
      <c r="C30" s="324"/>
      <c r="D30" s="325"/>
      <c r="E30" s="326"/>
      <c r="F30" s="248"/>
      <c r="G30" s="1"/>
      <c r="H30" s="1"/>
      <c r="I30" s="111"/>
      <c r="J30" s="111"/>
    </row>
    <row r="31" spans="1:10">
      <c r="A31" s="21"/>
      <c r="B31" s="248" t="str">
        <f>'Input data'!C34</f>
        <v>Kabel catu utama</v>
      </c>
      <c r="C31" s="321" t="str">
        <f>'Input data'!D34</f>
        <v>periksa kabel, apakah terlihat ada kerusakan atau bagian isolasi yang terkelupas.</v>
      </c>
      <c r="D31" s="322"/>
      <c r="E31" s="323"/>
      <c r="F31" s="248" t="str">
        <f>IF(Skorsing!G36=1,"BAIK","TIDAK BAIK")</f>
        <v>BAIK</v>
      </c>
      <c r="G31" s="1"/>
      <c r="H31" s="1"/>
      <c r="I31" s="111"/>
      <c r="J31" s="111"/>
    </row>
    <row r="32" spans="1:10">
      <c r="A32" s="21"/>
      <c r="B32" s="248"/>
      <c r="C32" s="324"/>
      <c r="D32" s="325"/>
      <c r="E32" s="326"/>
      <c r="F32" s="248"/>
      <c r="G32" s="1"/>
      <c r="H32" s="1"/>
      <c r="I32" s="111"/>
      <c r="J32" s="111"/>
    </row>
    <row r="33" spans="1:10">
      <c r="A33" s="23"/>
      <c r="B33" s="248" t="str">
        <f>'Input data'!C36</f>
        <v>Tombol, Saklar dan pengaman</v>
      </c>
      <c r="C33" s="321" t="str">
        <f>'Input data'!D36</f>
        <v>sebelum mempergunakan/mengubah-ubah tombol kontrol, periksa posisinya, jika terlihat tidak berada pada posisinya (periksa dengan menggunakan mode pemeriksaan standar). Bandingkan dengan posisi control. Ingat peraturan tersebut dan jangan lupa untuk mengembalikan pada setting awal jika sudah selesai menggunakan.</v>
      </c>
      <c r="D33" s="322"/>
      <c r="E33" s="323"/>
      <c r="F33" s="248" t="str">
        <f>IF(Skorsing!G38=1,"BAIK","TIDAK BAIK")</f>
        <v>BAIK</v>
      </c>
      <c r="G33" s="1"/>
      <c r="H33" s="1"/>
      <c r="I33" s="111"/>
      <c r="J33" s="111"/>
    </row>
    <row r="34" spans="1:10" ht="42" customHeight="1">
      <c r="A34" s="23"/>
      <c r="B34" s="248"/>
      <c r="C34" s="324"/>
      <c r="D34" s="325"/>
      <c r="E34" s="326"/>
      <c r="F34" s="248"/>
      <c r="G34" s="1"/>
      <c r="H34" s="1"/>
      <c r="I34" s="111"/>
      <c r="J34" s="111"/>
    </row>
    <row r="35" spans="1:10">
      <c r="A35" s="23"/>
      <c r="B35" s="341" t="str">
        <f>'Input data'!C38</f>
        <v>Tampilan indikator</v>
      </c>
      <c r="C35" s="342" t="str">
        <f>'Input data'!D38</f>
        <v>Pastikan lampu  indikator dan bagian tampilan digital berfungsi seluruhnya</v>
      </c>
      <c r="D35" s="343"/>
      <c r="E35" s="344"/>
      <c r="F35" s="248" t="str">
        <f>IF(Skorsing!G40=1,"BAIK","TIDAK BAIK")</f>
        <v>BAIK</v>
      </c>
      <c r="G35" s="1"/>
      <c r="H35" s="1"/>
      <c r="I35" s="111"/>
      <c r="J35" s="111"/>
    </row>
    <row r="36" spans="1:10">
      <c r="A36" s="23"/>
      <c r="B36" s="341"/>
      <c r="C36" s="345"/>
      <c r="D36" s="346"/>
      <c r="E36" s="347"/>
      <c r="F36" s="248"/>
      <c r="G36" s="1"/>
      <c r="H36" s="1"/>
      <c r="I36" s="111"/>
      <c r="J36" s="111"/>
    </row>
    <row r="37" spans="1:10">
      <c r="A37" s="23"/>
      <c r="B37" s="123"/>
      <c r="C37" s="123"/>
      <c r="D37" s="123"/>
      <c r="E37" s="123"/>
      <c r="F37" s="123"/>
      <c r="G37" s="1"/>
      <c r="H37" s="1"/>
      <c r="I37" s="111"/>
      <c r="J37" s="111"/>
    </row>
    <row r="38" spans="1:10">
      <c r="A38" s="21" t="s">
        <v>56</v>
      </c>
      <c r="B38" s="111"/>
      <c r="C38" s="2"/>
      <c r="D38" s="6"/>
      <c r="E38" s="6"/>
      <c r="F38" s="6"/>
      <c r="G38" s="1"/>
      <c r="H38" s="1"/>
      <c r="I38" s="111"/>
      <c r="J38" s="111"/>
    </row>
    <row r="39" spans="1:10">
      <c r="A39" s="340" t="s">
        <v>179</v>
      </c>
      <c r="B39" s="340" t="s">
        <v>73</v>
      </c>
      <c r="C39" s="340" t="s">
        <v>180</v>
      </c>
      <c r="D39" s="340" t="s">
        <v>75</v>
      </c>
      <c r="E39" s="340"/>
      <c r="F39" s="1"/>
      <c r="G39" s="1"/>
      <c r="H39" s="1"/>
      <c r="I39" s="111"/>
      <c r="J39" s="111"/>
    </row>
    <row r="40" spans="1:10">
      <c r="A40" s="340"/>
      <c r="B40" s="340"/>
      <c r="C40" s="340"/>
      <c r="D40" s="115" t="s">
        <v>77</v>
      </c>
      <c r="E40" s="115" t="s">
        <v>181</v>
      </c>
      <c r="F40" s="6"/>
      <c r="G40" s="1"/>
      <c r="H40" s="1"/>
      <c r="I40" s="111"/>
      <c r="J40" s="111"/>
    </row>
    <row r="41" spans="1:10">
      <c r="A41" s="264">
        <v>1</v>
      </c>
      <c r="B41" s="333">
        <f>[4]skorsing!B60</f>
        <v>1</v>
      </c>
      <c r="C41" s="334">
        <f>Skorsing!G46</f>
        <v>0.22263428605574145</v>
      </c>
      <c r="D41" s="336" t="str">
        <f>Skorsing!H46</f>
        <v>√</v>
      </c>
      <c r="E41" s="336"/>
      <c r="F41" s="124"/>
      <c r="G41" s="1"/>
      <c r="H41" s="1"/>
      <c r="I41" s="111"/>
      <c r="J41" s="111"/>
    </row>
    <row r="42" spans="1:10">
      <c r="A42" s="264"/>
      <c r="B42" s="333"/>
      <c r="C42" s="335"/>
      <c r="D42" s="337"/>
      <c r="E42" s="337"/>
      <c r="F42" s="124"/>
      <c r="G42" s="1"/>
      <c r="H42" s="1"/>
      <c r="I42" s="111"/>
      <c r="J42" s="111"/>
    </row>
    <row r="43" spans="1:10">
      <c r="A43" s="264">
        <v>2</v>
      </c>
      <c r="B43" s="333">
        <f>[4]skorsing!B61</f>
        <v>2</v>
      </c>
      <c r="C43" s="334" t="str">
        <f>Skorsing!G47</f>
        <v>OR</v>
      </c>
      <c r="D43" s="338" t="str">
        <f>Skorsing!H47</f>
        <v>√</v>
      </c>
      <c r="E43" s="339"/>
      <c r="F43" s="125"/>
      <c r="G43" s="1"/>
      <c r="H43" s="1"/>
      <c r="I43" s="111"/>
      <c r="J43" s="111"/>
    </row>
    <row r="44" spans="1:10">
      <c r="A44" s="264"/>
      <c r="B44" s="333"/>
      <c r="C44" s="335"/>
      <c r="D44" s="338"/>
      <c r="E44" s="339"/>
      <c r="F44" s="125"/>
      <c r="G44" s="1"/>
      <c r="H44" s="1"/>
      <c r="I44" s="111"/>
      <c r="J44" s="111"/>
    </row>
    <row r="45" spans="1:10">
      <c r="A45" s="264">
        <v>3</v>
      </c>
      <c r="B45" s="333">
        <f>[4]skorsing!B62</f>
        <v>3</v>
      </c>
      <c r="C45" s="334">
        <f>Skorsing!G48</f>
        <v>0.89197493568702391</v>
      </c>
      <c r="D45" s="338" t="str">
        <f>Skorsing!H48</f>
        <v>√</v>
      </c>
      <c r="E45" s="339"/>
      <c r="F45" s="6"/>
      <c r="G45" s="1"/>
      <c r="H45" s="1"/>
      <c r="I45" s="111"/>
      <c r="J45" s="111"/>
    </row>
    <row r="46" spans="1:10">
      <c r="A46" s="264"/>
      <c r="B46" s="333"/>
      <c r="C46" s="335"/>
      <c r="D46" s="338"/>
      <c r="E46" s="339"/>
      <c r="F46" s="6"/>
      <c r="G46" s="1"/>
      <c r="H46" s="1"/>
      <c r="I46" s="111"/>
      <c r="J46" s="111"/>
    </row>
    <row r="47" spans="1:10">
      <c r="A47" s="21"/>
      <c r="B47" s="111"/>
      <c r="C47" s="2"/>
      <c r="D47" s="6"/>
      <c r="E47" s="6"/>
      <c r="F47" s="6"/>
      <c r="G47" s="1"/>
      <c r="H47" s="1"/>
      <c r="I47" s="111"/>
      <c r="J47" s="111"/>
    </row>
    <row r="48" spans="1:10">
      <c r="A48" s="126"/>
      <c r="B48" s="111"/>
      <c r="C48" s="111"/>
      <c r="D48" s="111"/>
      <c r="E48" s="111"/>
      <c r="F48" s="111"/>
      <c r="G48" s="111"/>
      <c r="H48" s="111"/>
      <c r="I48" s="111"/>
      <c r="J48" s="111"/>
    </row>
    <row r="49" spans="1:10">
      <c r="A49" s="126" t="s">
        <v>89</v>
      </c>
      <c r="B49" s="111"/>
      <c r="C49" s="111"/>
      <c r="D49" s="111"/>
      <c r="E49" s="111"/>
      <c r="F49" s="111"/>
      <c r="G49" s="111"/>
      <c r="H49" s="111"/>
      <c r="I49" s="111"/>
      <c r="J49" s="111"/>
    </row>
    <row r="50" spans="1:10">
      <c r="A50" s="111" t="s">
        <v>296</v>
      </c>
      <c r="B50" s="111"/>
      <c r="C50" s="111"/>
      <c r="D50" s="111"/>
      <c r="E50" s="111"/>
      <c r="F50" s="111"/>
      <c r="G50" s="111"/>
      <c r="H50" s="111"/>
      <c r="I50" s="111"/>
      <c r="J50" s="111"/>
    </row>
    <row r="51" spans="1:10">
      <c r="A51" s="320" t="s">
        <v>73</v>
      </c>
      <c r="B51" s="320"/>
      <c r="C51" s="179" t="s">
        <v>297</v>
      </c>
      <c r="D51" s="180" t="s">
        <v>298</v>
      </c>
      <c r="E51" s="111"/>
      <c r="F51" s="111"/>
      <c r="G51" s="111"/>
      <c r="H51" s="111"/>
      <c r="I51" s="111"/>
      <c r="J51" s="111"/>
    </row>
    <row r="52" spans="1:10">
      <c r="A52" s="319" t="str">
        <f>Skorsing!C54</f>
        <v>Glukosa</v>
      </c>
      <c r="B52" s="319"/>
      <c r="C52" s="133">
        <f>Skorsing!L54</f>
        <v>1.3333333333333333</v>
      </c>
      <c r="D52" s="178">
        <f>Skorsing!O54</f>
        <v>2.0542602567605219</v>
      </c>
      <c r="E52" s="111"/>
      <c r="F52" s="111"/>
      <c r="G52" s="111"/>
      <c r="H52" s="111"/>
      <c r="I52" s="111"/>
      <c r="J52" s="111"/>
    </row>
    <row r="53" spans="1:10">
      <c r="A53" s="319" t="str">
        <f>Skorsing!C55</f>
        <v>Protein</v>
      </c>
      <c r="B53" s="319"/>
      <c r="C53" s="133">
        <f>Skorsing!L55</f>
        <v>2.3333333333333335</v>
      </c>
      <c r="D53" s="178">
        <f>Skorsing!O55</f>
        <v>2.0542602567605233</v>
      </c>
      <c r="E53" s="111"/>
      <c r="F53" s="111"/>
      <c r="G53" s="111"/>
      <c r="H53" s="111"/>
      <c r="I53" s="111"/>
      <c r="J53" s="111"/>
    </row>
    <row r="54" spans="1:10">
      <c r="A54" s="319" t="str">
        <f>Skorsing!C56</f>
        <v>Ph</v>
      </c>
      <c r="B54" s="319"/>
      <c r="C54" s="133">
        <f>Skorsing!L56</f>
        <v>3.6666666666666665</v>
      </c>
      <c r="D54" s="178">
        <f>Skorsing!O56</f>
        <v>0.87612970180212635</v>
      </c>
      <c r="E54" s="111"/>
      <c r="F54" s="111"/>
      <c r="G54" s="111"/>
      <c r="H54" s="111"/>
      <c r="I54" s="111"/>
      <c r="J54" s="111"/>
    </row>
    <row r="55" spans="1:10">
      <c r="A55" s="319" t="str">
        <f>Skorsing!C57</f>
        <v>Specific Gravity</v>
      </c>
      <c r="B55" s="319"/>
      <c r="C55" s="133">
        <f>Skorsing!L57</f>
        <v>1.6666666666666667</v>
      </c>
      <c r="D55" s="178">
        <f>Skorsing!O57</f>
        <v>5.1211810870633858</v>
      </c>
      <c r="E55" s="111"/>
      <c r="F55" s="111"/>
      <c r="G55" s="111"/>
      <c r="H55" s="111"/>
      <c r="I55" s="111"/>
      <c r="J55" s="111"/>
    </row>
    <row r="56" spans="1:10">
      <c r="A56" s="319" t="str">
        <f>Skorsing!C58</f>
        <v>Blood / Erythrocyte</v>
      </c>
      <c r="B56" s="319"/>
      <c r="C56" s="133">
        <f>Skorsing!L58</f>
        <v>4.333333333333333</v>
      </c>
      <c r="D56" s="178">
        <f>Skorsing!O58</f>
        <v>2.0542602567605188</v>
      </c>
      <c r="E56" s="111"/>
      <c r="F56" s="111"/>
      <c r="G56" s="111"/>
      <c r="H56" s="111"/>
      <c r="I56" s="111"/>
      <c r="J56" s="111"/>
    </row>
    <row r="57" spans="1:10">
      <c r="A57" s="319" t="str">
        <f>Skorsing!C59</f>
        <v>Leukosit</v>
      </c>
      <c r="B57" s="319"/>
      <c r="C57" s="133">
        <f>Skorsing!L59</f>
        <v>4.333333333333333</v>
      </c>
      <c r="D57" s="178">
        <f>Skorsing!O59</f>
        <v>2.0542602567605188</v>
      </c>
      <c r="E57" s="111"/>
      <c r="F57" s="111"/>
      <c r="G57" s="111"/>
      <c r="H57" s="111"/>
      <c r="I57" s="111"/>
      <c r="J57" s="111"/>
    </row>
    <row r="58" spans="1:10">
      <c r="A58" s="319" t="str">
        <f>Skorsing!C60</f>
        <v>Nitrit</v>
      </c>
      <c r="B58" s="319"/>
      <c r="C58" s="133">
        <f>Skorsing!L60</f>
        <v>4.333333333333333</v>
      </c>
      <c r="D58" s="178">
        <f>Skorsing!O60</f>
        <v>2.0542602567605188</v>
      </c>
      <c r="E58" s="111"/>
      <c r="F58" s="111"/>
      <c r="G58" s="111"/>
      <c r="H58" s="111"/>
      <c r="I58" s="111"/>
      <c r="J58" s="111"/>
    </row>
    <row r="59" spans="1:10">
      <c r="A59" s="319" t="str">
        <f>Skorsing!C61</f>
        <v>Keton</v>
      </c>
      <c r="B59" s="319"/>
      <c r="C59" s="133">
        <f>Skorsing!L61</f>
        <v>4.333333333333333</v>
      </c>
      <c r="D59" s="178">
        <f>Skorsing!O61</f>
        <v>2.0542602567605188</v>
      </c>
      <c r="E59" s="111"/>
      <c r="F59" s="111"/>
      <c r="G59" s="111"/>
      <c r="H59" s="111"/>
      <c r="I59" s="111"/>
      <c r="J59" s="111"/>
    </row>
    <row r="60" spans="1:10">
      <c r="A60" s="319" t="str">
        <f>Skorsing!C62</f>
        <v>Bilirubin</v>
      </c>
      <c r="B60" s="319"/>
      <c r="C60" s="133">
        <f>Skorsing!L62</f>
        <v>4.333333333333333</v>
      </c>
      <c r="D60" s="178">
        <f>Skorsing!O62</f>
        <v>2.0542602567605188</v>
      </c>
      <c r="E60" s="111"/>
      <c r="F60" s="111"/>
      <c r="G60" s="111"/>
      <c r="H60" s="111"/>
      <c r="I60" s="111"/>
      <c r="J60" s="111"/>
    </row>
    <row r="61" spans="1:10">
      <c r="A61" s="319" t="str">
        <f>Skorsing!C63</f>
        <v>Urobilinogen</v>
      </c>
      <c r="B61" s="319"/>
      <c r="C61" s="133">
        <f>Skorsing!L63</f>
        <v>4.333333333333333</v>
      </c>
      <c r="D61" s="178">
        <f>Skorsing!O63</f>
        <v>2.0542602567605188</v>
      </c>
      <c r="E61" s="111"/>
      <c r="F61" s="111"/>
      <c r="G61" s="111"/>
      <c r="H61" s="111"/>
      <c r="I61" s="111"/>
      <c r="J61" s="111"/>
    </row>
    <row r="62" spans="1:10">
      <c r="A62" s="126"/>
      <c r="B62" s="111"/>
      <c r="C62" s="111"/>
      <c r="D62" s="111"/>
      <c r="E62" s="111"/>
      <c r="F62" s="111"/>
      <c r="G62" s="111"/>
      <c r="H62" s="111"/>
      <c r="I62" s="111"/>
      <c r="J62" s="111"/>
    </row>
    <row r="63" spans="1:10">
      <c r="A63" s="126"/>
      <c r="B63" s="111"/>
      <c r="C63" s="111"/>
      <c r="D63" s="111"/>
      <c r="E63" s="111"/>
      <c r="F63" s="111"/>
      <c r="G63" s="111"/>
      <c r="H63" s="111"/>
      <c r="I63" s="111"/>
      <c r="J63" s="111"/>
    </row>
    <row r="64" spans="1:10">
      <c r="A64" s="126"/>
      <c r="B64" s="111"/>
      <c r="C64" s="111"/>
      <c r="D64" s="111"/>
      <c r="E64" s="111"/>
      <c r="F64" s="111"/>
      <c r="G64" s="111"/>
      <c r="H64" s="111"/>
      <c r="I64" s="111"/>
      <c r="J64" s="111"/>
    </row>
    <row r="65" spans="1:10">
      <c r="A65" s="126"/>
      <c r="B65" s="111"/>
      <c r="C65" s="111"/>
      <c r="D65" s="111"/>
      <c r="E65" s="111"/>
      <c r="F65" s="111"/>
      <c r="G65" s="111"/>
      <c r="H65" s="111"/>
      <c r="I65" s="111"/>
      <c r="J65" s="111"/>
    </row>
    <row r="66" spans="1:10">
      <c r="A66" s="126"/>
      <c r="B66" s="111"/>
      <c r="C66" s="111"/>
      <c r="D66" s="111"/>
      <c r="E66" s="111"/>
      <c r="F66" s="111"/>
      <c r="G66" s="111"/>
      <c r="H66" s="111"/>
      <c r="I66" s="111"/>
      <c r="J66" s="111"/>
    </row>
    <row r="67" spans="1:10">
      <c r="A67" s="126"/>
      <c r="B67" s="111"/>
      <c r="C67" s="111"/>
      <c r="D67" s="111"/>
      <c r="E67" s="111"/>
      <c r="F67" s="111"/>
      <c r="G67" s="111"/>
      <c r="H67" s="111"/>
    </row>
    <row r="68" spans="1:10">
      <c r="A68" s="127" t="s">
        <v>182</v>
      </c>
      <c r="B68" s="127"/>
      <c r="C68" s="127"/>
      <c r="D68" s="127"/>
      <c r="E68" s="127"/>
      <c r="F68" s="127"/>
      <c r="G68" s="127"/>
      <c r="H68" s="111"/>
    </row>
    <row r="69" spans="1:10">
      <c r="A69" s="45" t="s">
        <v>183</v>
      </c>
      <c r="B69" s="128" t="s">
        <v>184</v>
      </c>
      <c r="C69" s="128"/>
      <c r="D69" s="128"/>
      <c r="E69" s="32" t="str">
        <f>IF(Skorsing!N46&gt;=40,"Aman","Tidak Aman")</f>
        <v>Aman</v>
      </c>
      <c r="F69" s="127"/>
      <c r="G69" s="127"/>
      <c r="H69" s="111"/>
    </row>
    <row r="70" spans="1:10">
      <c r="A70" s="45" t="s">
        <v>185</v>
      </c>
      <c r="B70" s="128" t="s">
        <v>186</v>
      </c>
      <c r="C70" s="128"/>
      <c r="D70" s="128"/>
      <c r="E70" s="32" t="str">
        <f>IF(Skorsing!K32&gt;=10,"Baik","Tidak Baik")</f>
        <v>Baik</v>
      </c>
      <c r="F70" s="127"/>
      <c r="G70" s="127"/>
      <c r="H70" s="127"/>
      <c r="I70" s="111"/>
      <c r="J70" s="111"/>
    </row>
    <row r="71" spans="1:10" ht="19.5">
      <c r="A71" s="45" t="s">
        <v>187</v>
      </c>
      <c r="B71" s="129" t="s">
        <v>188</v>
      </c>
      <c r="C71" s="21" t="str">
        <f>IF(ABS(Skorsing!E66)&gt;=90,"Alat Dinyatakan Laik Pakai","Alat Dinyatakan Tidak Laik Pakai")</f>
        <v>Alat Dinyatakan Laik Pakai</v>
      </c>
      <c r="D71" s="130"/>
      <c r="E71" s="131"/>
      <c r="F71" s="131"/>
      <c r="G71" s="131"/>
      <c r="H71" s="131"/>
      <c r="I71" s="111"/>
      <c r="J71" s="111"/>
    </row>
    <row r="72" spans="1:10">
      <c r="A72" s="45" t="s">
        <v>189</v>
      </c>
      <c r="B72" s="2" t="s">
        <v>190</v>
      </c>
      <c r="C72" s="132"/>
      <c r="D72" s="132"/>
      <c r="E72" s="132"/>
      <c r="F72" s="132"/>
      <c r="G72" s="132"/>
      <c r="H72" s="132"/>
      <c r="I72" s="111"/>
      <c r="J72" s="111"/>
    </row>
  </sheetData>
  <mergeCells count="57">
    <mergeCell ref="A55:B55"/>
    <mergeCell ref="A56:B56"/>
    <mergeCell ref="B17:C17"/>
    <mergeCell ref="A43:A44"/>
    <mergeCell ref="B43:B44"/>
    <mergeCell ref="C43:C44"/>
    <mergeCell ref="A39:A40"/>
    <mergeCell ref="B39:B40"/>
    <mergeCell ref="C39:C40"/>
    <mergeCell ref="B35:B36"/>
    <mergeCell ref="C35:E36"/>
    <mergeCell ref="B27:B28"/>
    <mergeCell ref="C27:E28"/>
    <mergeCell ref="D43:D44"/>
    <mergeCell ref="E43:E44"/>
    <mergeCell ref="A45:A46"/>
    <mergeCell ref="B45:B46"/>
    <mergeCell ref="C45:C46"/>
    <mergeCell ref="D45:D46"/>
    <mergeCell ref="E45:E46"/>
    <mergeCell ref="D39:E39"/>
    <mergeCell ref="A41:A42"/>
    <mergeCell ref="B41:B42"/>
    <mergeCell ref="C41:C42"/>
    <mergeCell ref="D41:D42"/>
    <mergeCell ref="E41:E42"/>
    <mergeCell ref="C31:E32"/>
    <mergeCell ref="F31:F32"/>
    <mergeCell ref="B33:B34"/>
    <mergeCell ref="C33:E34"/>
    <mergeCell ref="F33:F34"/>
    <mergeCell ref="B2:G2"/>
    <mergeCell ref="E5:F5"/>
    <mergeCell ref="E6:F6"/>
    <mergeCell ref="E7:F7"/>
    <mergeCell ref="E8:F8"/>
    <mergeCell ref="E9:F9"/>
    <mergeCell ref="A51:B51"/>
    <mergeCell ref="A52:B52"/>
    <mergeCell ref="A53:B53"/>
    <mergeCell ref="A54:B54"/>
    <mergeCell ref="F27:F28"/>
    <mergeCell ref="B29:B30"/>
    <mergeCell ref="C29:E30"/>
    <mergeCell ref="F29:F30"/>
    <mergeCell ref="E10:F10"/>
    <mergeCell ref="B14:C14"/>
    <mergeCell ref="B15:C15"/>
    <mergeCell ref="B16:C16"/>
    <mergeCell ref="C26:E26"/>
    <mergeCell ref="F35:F36"/>
    <mergeCell ref="B31:B32"/>
    <mergeCell ref="A57:B57"/>
    <mergeCell ref="A58:B58"/>
    <mergeCell ref="A59:B59"/>
    <mergeCell ref="A60:B60"/>
    <mergeCell ref="A61:B6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E71DB-292E-42FE-83D5-3242F2522A76}">
  <dimension ref="A2:AL141"/>
  <sheetViews>
    <sheetView view="pageBreakPreview" topLeftCell="A110" zoomScaleNormal="100" zoomScaleSheetLayoutView="100" workbookViewId="0">
      <selection activeCell="C124" sqref="C124:R125"/>
    </sheetView>
  </sheetViews>
  <sheetFormatPr defaultRowHeight="15"/>
  <cols>
    <col min="1" max="1" width="3.85546875" style="134" customWidth="1"/>
    <col min="2" max="2" width="4.7109375" style="134" customWidth="1"/>
    <col min="3" max="3" width="3.7109375" style="134" customWidth="1"/>
    <col min="4" max="5" width="4.28515625" style="134" customWidth="1"/>
    <col min="6" max="6" width="3.85546875" style="134" customWidth="1"/>
    <col min="7" max="7" width="3.7109375" style="134" customWidth="1"/>
    <col min="8" max="8" width="5.7109375" style="134" customWidth="1"/>
    <col min="9" max="9" width="4.85546875" style="134" customWidth="1"/>
    <col min="10" max="11" width="4.5703125" style="134" customWidth="1"/>
    <col min="12" max="12" width="5.140625" style="134" customWidth="1"/>
    <col min="13" max="13" width="5.42578125" style="134" customWidth="1"/>
    <col min="14" max="14" width="5" style="134" customWidth="1"/>
    <col min="15" max="15" width="4.7109375" style="134" customWidth="1"/>
    <col min="16" max="16" width="5" style="134" customWidth="1"/>
    <col min="17" max="17" width="5.7109375" style="134" customWidth="1"/>
    <col min="18" max="18" width="5.140625" style="134" customWidth="1"/>
    <col min="19" max="19" width="3.7109375" style="134" customWidth="1"/>
    <col min="20" max="20" width="9.5703125" style="134" hidden="1" customWidth="1"/>
    <col min="21" max="16384" width="9.140625" style="134"/>
  </cols>
  <sheetData>
    <row r="2" spans="1:25">
      <c r="J2" s="135"/>
      <c r="K2" s="135"/>
      <c r="L2" s="135"/>
      <c r="M2" s="135"/>
      <c r="N2" s="135"/>
      <c r="O2" s="135"/>
      <c r="P2" s="135"/>
      <c r="Q2" s="135"/>
      <c r="R2" s="135"/>
      <c r="S2" s="135"/>
      <c r="T2" s="135"/>
      <c r="U2" s="135"/>
      <c r="V2" s="135"/>
      <c r="W2" s="135"/>
      <c r="X2" s="135"/>
      <c r="Y2" s="135"/>
    </row>
    <row r="3" spans="1:25">
      <c r="J3" s="135"/>
      <c r="K3" s="135"/>
      <c r="L3" s="135"/>
      <c r="M3" s="135"/>
      <c r="N3" s="135"/>
      <c r="O3" s="135"/>
      <c r="P3" s="135"/>
      <c r="Q3" s="135"/>
      <c r="R3" s="135"/>
      <c r="S3" s="135"/>
      <c r="T3" s="135"/>
      <c r="U3" s="135"/>
      <c r="V3" s="135"/>
      <c r="W3" s="135"/>
      <c r="X3" s="135"/>
      <c r="Y3" s="135"/>
    </row>
    <row r="4" spans="1:25">
      <c r="J4" s="135"/>
      <c r="K4" s="135"/>
      <c r="L4" s="135"/>
      <c r="M4" s="135"/>
      <c r="N4" s="135"/>
      <c r="O4" s="135"/>
      <c r="P4" s="135"/>
      <c r="Q4" s="135"/>
      <c r="R4" s="135"/>
      <c r="S4" s="135"/>
      <c r="T4" s="135"/>
      <c r="U4" s="135"/>
      <c r="V4" s="135"/>
      <c r="W4" s="135"/>
      <c r="X4" s="135"/>
      <c r="Y4" s="135"/>
    </row>
    <row r="5" spans="1:25">
      <c r="J5" s="135"/>
      <c r="K5" s="135"/>
      <c r="L5" s="135"/>
      <c r="M5" s="135"/>
      <c r="N5" s="135"/>
      <c r="O5" s="135"/>
      <c r="P5" s="135"/>
      <c r="Q5" s="135"/>
      <c r="R5" s="135"/>
      <c r="S5" s="135"/>
      <c r="T5" s="135"/>
      <c r="U5" s="135"/>
      <c r="V5" s="135"/>
      <c r="W5" s="135"/>
      <c r="X5" s="135"/>
      <c r="Y5" s="135"/>
    </row>
    <row r="6" spans="1:25" ht="15.75" thickBot="1">
      <c r="A6" s="136"/>
      <c r="B6" s="136"/>
      <c r="C6" s="136"/>
      <c r="D6" s="136"/>
      <c r="E6" s="136"/>
      <c r="F6" s="136"/>
      <c r="G6" s="136"/>
      <c r="H6" s="136"/>
      <c r="I6" s="136"/>
      <c r="J6" s="137"/>
      <c r="K6" s="137"/>
      <c r="L6" s="137"/>
      <c r="M6" s="137"/>
      <c r="N6" s="137"/>
      <c r="O6" s="137"/>
      <c r="P6" s="137"/>
      <c r="Q6" s="137"/>
      <c r="R6" s="137"/>
      <c r="S6" s="137"/>
      <c r="T6" s="135"/>
      <c r="U6" s="135"/>
      <c r="V6" s="135"/>
      <c r="W6" s="135"/>
      <c r="X6" s="135"/>
      <c r="Y6" s="135"/>
    </row>
    <row r="7" spans="1:25" ht="15.75" thickTop="1">
      <c r="J7" s="135"/>
      <c r="K7" s="135"/>
      <c r="L7" s="135"/>
      <c r="M7" s="135"/>
      <c r="N7" s="135"/>
      <c r="O7" s="135"/>
      <c r="P7" s="135"/>
      <c r="Q7" s="135"/>
      <c r="R7" s="135"/>
      <c r="S7" s="135"/>
      <c r="T7" s="135"/>
      <c r="U7" s="135"/>
      <c r="V7" s="135"/>
      <c r="W7" s="135"/>
      <c r="X7" s="135"/>
      <c r="Y7" s="135"/>
    </row>
    <row r="8" spans="1:25" ht="15.75">
      <c r="L8" s="138" t="s">
        <v>192</v>
      </c>
      <c r="P8" s="134" t="s">
        <v>193</v>
      </c>
      <c r="Q8" s="382" t="str">
        <f>'Cover '!Q8:S8</f>
        <v>S.612</v>
      </c>
      <c r="R8" s="382"/>
      <c r="S8" s="382"/>
    </row>
    <row r="9" spans="1:25">
      <c r="L9" s="139" t="s">
        <v>194</v>
      </c>
    </row>
    <row r="10" spans="1:25">
      <c r="L10" s="139"/>
    </row>
    <row r="12" spans="1:25" ht="21">
      <c r="A12" s="378" t="s">
        <v>295</v>
      </c>
      <c r="B12" s="378"/>
      <c r="C12" s="378"/>
      <c r="D12" s="378"/>
      <c r="E12" s="378"/>
      <c r="F12" s="378"/>
      <c r="G12" s="378"/>
      <c r="H12" s="378"/>
      <c r="I12" s="378"/>
      <c r="J12" s="378"/>
      <c r="K12" s="378"/>
      <c r="L12" s="378"/>
      <c r="M12" s="378"/>
      <c r="N12" s="378"/>
      <c r="O12" s="378"/>
      <c r="P12" s="378"/>
      <c r="Q12" s="378"/>
      <c r="R12" s="378"/>
      <c r="S12" s="378"/>
    </row>
    <row r="13" spans="1:25">
      <c r="A13" s="379" t="s">
        <v>294</v>
      </c>
      <c r="B13" s="379"/>
      <c r="C13" s="379"/>
      <c r="D13" s="379"/>
      <c r="E13" s="379"/>
      <c r="F13" s="379"/>
      <c r="G13" s="379"/>
      <c r="H13" s="379"/>
      <c r="I13" s="379"/>
      <c r="J13" s="379"/>
      <c r="K13" s="379"/>
      <c r="L13" s="379"/>
      <c r="M13" s="379"/>
      <c r="N13" s="379"/>
      <c r="O13" s="379"/>
      <c r="P13" s="379"/>
      <c r="Q13" s="379"/>
      <c r="R13" s="379"/>
      <c r="S13" s="379"/>
    </row>
    <row r="14" spans="1:25" ht="15.75">
      <c r="A14" s="380" t="str">
        <f>laporan!C6</f>
        <v>Urine Analyzer</v>
      </c>
      <c r="B14" s="380"/>
      <c r="C14" s="380"/>
      <c r="D14" s="380"/>
      <c r="E14" s="380"/>
      <c r="F14" s="380"/>
      <c r="G14" s="380"/>
      <c r="H14" s="380"/>
      <c r="I14" s="380"/>
      <c r="J14" s="380"/>
      <c r="K14" s="380"/>
      <c r="L14" s="380"/>
      <c r="M14" s="380"/>
      <c r="N14" s="380"/>
      <c r="O14" s="380"/>
      <c r="P14" s="380"/>
      <c r="Q14" s="380"/>
      <c r="R14" s="380"/>
      <c r="S14" s="380"/>
    </row>
    <row r="16" spans="1:25" ht="15.75">
      <c r="A16" s="141" t="s">
        <v>293</v>
      </c>
      <c r="B16" s="142" t="s">
        <v>292</v>
      </c>
      <c r="C16" s="142"/>
      <c r="D16" s="142"/>
    </row>
    <row r="17" spans="1:25" ht="15.75">
      <c r="A17" s="138"/>
      <c r="B17" s="139" t="s">
        <v>291</v>
      </c>
    </row>
    <row r="18" spans="1:25" ht="15.75">
      <c r="A18" s="138"/>
      <c r="B18" s="145" t="s">
        <v>16</v>
      </c>
      <c r="I18" s="143" t="s">
        <v>193</v>
      </c>
      <c r="J18" s="134" t="str">
        <f>laporan!C8</f>
        <v>SM</v>
      </c>
    </row>
    <row r="19" spans="1:25" ht="15.75">
      <c r="A19" s="138"/>
      <c r="B19" s="144" t="s">
        <v>200</v>
      </c>
      <c r="I19" s="143"/>
    </row>
    <row r="20" spans="1:25" ht="15.75">
      <c r="A20" s="138"/>
      <c r="B20" s="138" t="s">
        <v>201</v>
      </c>
      <c r="I20" s="143" t="s">
        <v>193</v>
      </c>
      <c r="J20" s="134" t="str">
        <f>laporan!C9</f>
        <v>SM S-600</v>
      </c>
    </row>
    <row r="21" spans="1:25" ht="15.75">
      <c r="A21" s="138"/>
      <c r="B21" s="144" t="s">
        <v>201</v>
      </c>
      <c r="I21" s="143"/>
    </row>
    <row r="22" spans="1:25" ht="15.75">
      <c r="A22" s="138"/>
      <c r="B22" s="138" t="s">
        <v>202</v>
      </c>
      <c r="I22" s="143" t="s">
        <v>193</v>
      </c>
      <c r="J22" s="134">
        <f>laporan!C10</f>
        <v>111</v>
      </c>
    </row>
    <row r="23" spans="1:25" ht="15.75">
      <c r="A23" s="138"/>
      <c r="B23" s="144" t="s">
        <v>203</v>
      </c>
      <c r="I23" s="143"/>
    </row>
    <row r="24" spans="1:25" ht="15.75" hidden="1">
      <c r="A24" s="138"/>
      <c r="B24" s="138" t="s">
        <v>163</v>
      </c>
      <c r="I24" s="143" t="s">
        <v>193</v>
      </c>
      <c r="J24" s="134">
        <f>laporan!E5</f>
        <v>1</v>
      </c>
    </row>
    <row r="25" spans="1:25" ht="15.75" hidden="1">
      <c r="A25" s="138"/>
      <c r="B25" s="144" t="s">
        <v>204</v>
      </c>
      <c r="I25" s="143"/>
    </row>
    <row r="26" spans="1:25" ht="15.75">
      <c r="A26" s="138"/>
      <c r="B26" s="138" t="s">
        <v>290</v>
      </c>
      <c r="I26" s="143" t="s">
        <v>193</v>
      </c>
      <c r="J26" s="134" t="str">
        <f>laporan!E7</f>
        <v>PT. Presisi Kalibrasi Medika</v>
      </c>
    </row>
    <row r="27" spans="1:25" ht="15.75">
      <c r="A27" s="138"/>
      <c r="B27" s="144" t="s">
        <v>289</v>
      </c>
      <c r="I27" s="143"/>
    </row>
    <row r="28" spans="1:25" ht="15.75">
      <c r="A28" s="138"/>
      <c r="B28" s="138" t="s">
        <v>288</v>
      </c>
      <c r="I28" s="143" t="s">
        <v>193</v>
      </c>
      <c r="J28" s="381">
        <f>laporan!E8</f>
        <v>46266</v>
      </c>
      <c r="K28" s="381"/>
      <c r="L28" s="381"/>
      <c r="M28" s="381"/>
    </row>
    <row r="29" spans="1:25" ht="15.75">
      <c r="A29" s="138"/>
      <c r="B29" s="144" t="s">
        <v>287</v>
      </c>
      <c r="I29" s="143"/>
      <c r="J29" s="174"/>
      <c r="K29" s="174"/>
      <c r="L29" s="174"/>
      <c r="M29" s="174"/>
    </row>
    <row r="30" spans="1:25" ht="15.75">
      <c r="A30" s="138"/>
      <c r="B30" s="138" t="s">
        <v>286</v>
      </c>
      <c r="I30" s="143" t="s">
        <v>193</v>
      </c>
      <c r="J30" s="381">
        <f>laporan!E9</f>
        <v>46266</v>
      </c>
      <c r="K30" s="381"/>
      <c r="L30" s="381"/>
      <c r="M30" s="381"/>
    </row>
    <row r="31" spans="1:25" ht="15.75">
      <c r="A31" s="138"/>
      <c r="B31" s="144" t="s">
        <v>285</v>
      </c>
      <c r="I31" s="143"/>
      <c r="J31" s="174"/>
      <c r="K31" s="174"/>
      <c r="L31" s="174"/>
      <c r="M31" s="174"/>
      <c r="W31" s="155"/>
      <c r="X31" s="155"/>
      <c r="Y31" s="155"/>
    </row>
    <row r="32" spans="1:25" ht="15.75">
      <c r="A32" s="138"/>
      <c r="B32" s="138" t="s">
        <v>284</v>
      </c>
      <c r="I32" s="143" t="s">
        <v>193</v>
      </c>
      <c r="J32" s="381"/>
      <c r="K32" s="381"/>
      <c r="L32" s="381"/>
      <c r="M32" s="381"/>
      <c r="W32" s="155"/>
      <c r="X32" s="155"/>
      <c r="Y32" s="155"/>
    </row>
    <row r="33" spans="1:25" ht="16.5" thickBot="1">
      <c r="A33" s="173"/>
      <c r="B33" s="172" t="s">
        <v>283</v>
      </c>
      <c r="C33" s="171"/>
      <c r="D33" s="171"/>
      <c r="E33" s="171"/>
      <c r="F33" s="171"/>
      <c r="G33" s="171"/>
      <c r="H33" s="171"/>
      <c r="I33" s="171"/>
      <c r="J33" s="171"/>
      <c r="K33" s="171"/>
      <c r="L33" s="171"/>
      <c r="M33" s="171"/>
      <c r="N33" s="171"/>
      <c r="O33" s="171"/>
      <c r="P33" s="171"/>
      <c r="Q33" s="171"/>
      <c r="R33" s="171"/>
      <c r="S33" s="171"/>
      <c r="W33" s="155"/>
      <c r="X33" s="155"/>
      <c r="Y33" s="155"/>
    </row>
    <row r="34" spans="1:25" ht="15.75">
      <c r="A34" s="138"/>
    </row>
    <row r="35" spans="1:25" ht="15.75">
      <c r="A35" s="141" t="s">
        <v>282</v>
      </c>
      <c r="B35" s="141" t="s">
        <v>281</v>
      </c>
    </row>
    <row r="36" spans="1:25" ht="15.75">
      <c r="A36" s="138"/>
      <c r="B36" s="144" t="s">
        <v>280</v>
      </c>
    </row>
    <row r="37" spans="1:25" ht="15.75">
      <c r="A37" s="138"/>
      <c r="B37" s="149">
        <v>1</v>
      </c>
      <c r="C37" s="138" t="s">
        <v>279</v>
      </c>
      <c r="I37" s="143" t="s">
        <v>193</v>
      </c>
      <c r="J37" s="170" t="s">
        <v>275</v>
      </c>
      <c r="K37" s="164">
        <f>laporan!C21</f>
        <v>23.750549346016644</v>
      </c>
      <c r="L37" s="168" t="s">
        <v>274</v>
      </c>
      <c r="M37" s="167">
        <f>[5]Laporan!E22</f>
        <v>0.5</v>
      </c>
      <c r="N37" s="164" t="s">
        <v>278</v>
      </c>
    </row>
    <row r="38" spans="1:25" ht="15.75">
      <c r="A38" s="138"/>
      <c r="B38" s="143"/>
      <c r="C38" s="144" t="s">
        <v>277</v>
      </c>
      <c r="I38" s="143"/>
      <c r="L38" s="143"/>
      <c r="M38" s="167"/>
    </row>
    <row r="39" spans="1:25" ht="15.75">
      <c r="A39" s="138"/>
      <c r="B39" s="143">
        <v>2</v>
      </c>
      <c r="C39" s="138" t="s">
        <v>276</v>
      </c>
      <c r="I39" s="143" t="s">
        <v>193</v>
      </c>
      <c r="J39" s="169" t="s">
        <v>275</v>
      </c>
      <c r="K39" s="143">
        <f>laporan!C22</f>
        <v>53.618909090909092</v>
      </c>
      <c r="L39" s="168" t="s">
        <v>274</v>
      </c>
      <c r="M39" s="167">
        <f>[5]Laporan!E23</f>
        <v>2.7</v>
      </c>
      <c r="N39" s="134" t="s">
        <v>273</v>
      </c>
    </row>
    <row r="40" spans="1:25" ht="15.75">
      <c r="A40" s="138"/>
      <c r="C40" s="144" t="s">
        <v>272</v>
      </c>
      <c r="I40" s="143"/>
    </row>
    <row r="41" spans="1:25" ht="15.75">
      <c r="A41" s="138"/>
      <c r="C41" s="138" t="s">
        <v>271</v>
      </c>
      <c r="H41" s="134" t="s">
        <v>36</v>
      </c>
      <c r="I41" s="143" t="s">
        <v>193</v>
      </c>
      <c r="J41" s="384">
        <f>laporan!C23</f>
        <v>221.23674416456169</v>
      </c>
      <c r="K41" s="384"/>
      <c r="L41" s="134" t="s">
        <v>117</v>
      </c>
    </row>
    <row r="42" spans="1:25" ht="15.75">
      <c r="A42" s="138"/>
      <c r="C42" s="144" t="s">
        <v>270</v>
      </c>
    </row>
    <row r="43" spans="1:25" ht="15.75">
      <c r="A43" s="138"/>
      <c r="C43" s="152"/>
    </row>
    <row r="44" spans="1:25" ht="15.75">
      <c r="A44" s="138"/>
      <c r="C44" s="152"/>
    </row>
    <row r="45" spans="1:25" ht="15.75">
      <c r="A45" s="138"/>
      <c r="C45" s="152"/>
    </row>
    <row r="46" spans="1:25" ht="15.75">
      <c r="A46" s="138"/>
      <c r="C46" s="152"/>
    </row>
    <row r="47" spans="1:25" ht="15.75">
      <c r="A47" s="138"/>
      <c r="C47" s="152"/>
    </row>
    <row r="48" spans="1:25" ht="15.75">
      <c r="A48" s="141" t="s">
        <v>269</v>
      </c>
      <c r="B48" s="141" t="s">
        <v>268</v>
      </c>
    </row>
    <row r="49" spans="1:18" ht="15.75">
      <c r="A49" s="138"/>
      <c r="B49" s="144" t="s">
        <v>267</v>
      </c>
    </row>
    <row r="50" spans="1:18" ht="15.75">
      <c r="A50" s="138"/>
      <c r="B50" s="153">
        <v>1</v>
      </c>
      <c r="C50" s="138" t="s">
        <v>266</v>
      </c>
      <c r="I50" s="143" t="s">
        <v>193</v>
      </c>
      <c r="J50" s="134" t="str">
        <f>laporan!E70</f>
        <v>Baik</v>
      </c>
      <c r="K50" s="166" t="s">
        <v>263</v>
      </c>
      <c r="L50" s="165" t="s">
        <v>262</v>
      </c>
    </row>
    <row r="51" spans="1:18" ht="15.75">
      <c r="A51" s="138"/>
      <c r="B51" s="143"/>
      <c r="C51" s="144" t="s">
        <v>265</v>
      </c>
      <c r="I51" s="143"/>
    </row>
    <row r="52" spans="1:18" ht="15.75">
      <c r="A52" s="138"/>
      <c r="B52" s="153">
        <v>2</v>
      </c>
      <c r="C52" s="138" t="s">
        <v>264</v>
      </c>
      <c r="I52" s="143" t="s">
        <v>193</v>
      </c>
      <c r="J52" s="134" t="str">
        <f>laporan!E70</f>
        <v>Baik</v>
      </c>
      <c r="K52" s="166" t="s">
        <v>263</v>
      </c>
      <c r="L52" s="165" t="s">
        <v>262</v>
      </c>
    </row>
    <row r="53" spans="1:18" ht="15.75">
      <c r="A53" s="138"/>
      <c r="C53" s="144" t="s">
        <v>261</v>
      </c>
    </row>
    <row r="54" spans="1:18" ht="15.75">
      <c r="A54" s="138"/>
      <c r="C54" s="152"/>
    </row>
    <row r="55" spans="1:18" ht="15.75">
      <c r="A55" s="141" t="s">
        <v>260</v>
      </c>
      <c r="B55" s="141" t="s">
        <v>259</v>
      </c>
    </row>
    <row r="56" spans="1:18" ht="15.75">
      <c r="A56" s="138"/>
      <c r="B56" s="144" t="s">
        <v>258</v>
      </c>
    </row>
    <row r="57" spans="1:18" ht="15.75">
      <c r="A57" s="138"/>
      <c r="B57" s="365" t="s">
        <v>15</v>
      </c>
      <c r="C57" s="366"/>
      <c r="D57" s="366"/>
      <c r="E57" s="366"/>
      <c r="F57" s="366"/>
      <c r="G57" s="366"/>
      <c r="H57" s="365" t="s">
        <v>16</v>
      </c>
      <c r="I57" s="366"/>
      <c r="J57" s="366"/>
      <c r="K57" s="366"/>
      <c r="L57" s="365" t="s">
        <v>256</v>
      </c>
      <c r="M57" s="366"/>
      <c r="N57" s="366"/>
      <c r="O57" s="365" t="s">
        <v>202</v>
      </c>
      <c r="P57" s="366"/>
      <c r="Q57" s="366"/>
      <c r="R57" s="383"/>
    </row>
    <row r="58" spans="1:18" ht="15.75">
      <c r="A58" s="138"/>
      <c r="B58" s="367" t="s">
        <v>257</v>
      </c>
      <c r="C58" s="368"/>
      <c r="D58" s="368"/>
      <c r="E58" s="368"/>
      <c r="F58" s="368"/>
      <c r="G58" s="368"/>
      <c r="H58" s="367" t="s">
        <v>200</v>
      </c>
      <c r="I58" s="368"/>
      <c r="J58" s="368"/>
      <c r="K58" s="368"/>
      <c r="L58" s="367" t="s">
        <v>256</v>
      </c>
      <c r="M58" s="368"/>
      <c r="N58" s="368"/>
      <c r="O58" s="367" t="s">
        <v>203</v>
      </c>
      <c r="P58" s="368"/>
      <c r="Q58" s="368"/>
      <c r="R58" s="369"/>
    </row>
    <row r="59" spans="1:18" ht="15.75">
      <c r="A59" s="138"/>
      <c r="B59" s="364" t="str">
        <f>laporan!B15</f>
        <v xml:space="preserve"> Kontrol Standard / CRM</v>
      </c>
      <c r="C59" s="364"/>
      <c r="D59" s="364"/>
      <c r="E59" s="364"/>
      <c r="F59" s="364"/>
      <c r="G59" s="364"/>
      <c r="H59" s="370" t="str">
        <f>laporan!D15</f>
        <v>-</v>
      </c>
      <c r="I59" s="371"/>
      <c r="J59" s="371"/>
      <c r="K59" s="371"/>
      <c r="L59" s="370" t="str">
        <f>laporan!E15</f>
        <v>-</v>
      </c>
      <c r="M59" s="371"/>
      <c r="N59" s="371"/>
      <c r="O59" s="370" t="str">
        <f>laporan!F15</f>
        <v>-</v>
      </c>
      <c r="P59" s="370"/>
      <c r="Q59" s="370"/>
      <c r="R59" s="370"/>
    </row>
    <row r="60" spans="1:18" ht="15.75">
      <c r="A60" s="138"/>
      <c r="B60" s="364" t="str">
        <f>laporan!B16</f>
        <v>Electrical Safety Analyzer</v>
      </c>
      <c r="C60" s="364"/>
      <c r="D60" s="364"/>
      <c r="E60" s="364"/>
      <c r="F60" s="364"/>
      <c r="G60" s="364"/>
      <c r="H60" s="370" t="str">
        <f>laporan!D16</f>
        <v>Fluke Biomedical</v>
      </c>
      <c r="I60" s="371"/>
      <c r="J60" s="371"/>
      <c r="K60" s="371"/>
      <c r="L60" s="370" t="str">
        <f>laporan!E16</f>
        <v>ESA612</v>
      </c>
      <c r="M60" s="371"/>
      <c r="N60" s="371"/>
      <c r="O60" s="370">
        <f>laporan!F16</f>
        <v>6579027</v>
      </c>
      <c r="P60" s="370"/>
      <c r="Q60" s="370"/>
      <c r="R60" s="370"/>
    </row>
    <row r="61" spans="1:18" ht="15.75">
      <c r="A61" s="138"/>
      <c r="B61" s="364" t="str">
        <f>laporan!B17</f>
        <v>Thermohygrometer</v>
      </c>
      <c r="C61" s="364"/>
      <c r="D61" s="364"/>
      <c r="E61" s="364"/>
      <c r="F61" s="364"/>
      <c r="G61" s="364"/>
      <c r="H61" s="370" t="str">
        <f>laporan!D17</f>
        <v>Taffware</v>
      </c>
      <c r="I61" s="371"/>
      <c r="J61" s="371"/>
      <c r="K61" s="371"/>
      <c r="L61" s="370" t="str">
        <f>laporan!E17</f>
        <v>HTC-1</v>
      </c>
      <c r="M61" s="371"/>
      <c r="N61" s="371"/>
      <c r="O61" s="370" t="str">
        <f>laporan!F17</f>
        <v>TH-01</v>
      </c>
      <c r="P61" s="370"/>
      <c r="Q61" s="370"/>
      <c r="R61" s="370"/>
    </row>
    <row r="62" spans="1:18" ht="15.75">
      <c r="A62" s="138"/>
    </row>
    <row r="63" spans="1:18" ht="15.75">
      <c r="A63" s="141" t="s">
        <v>255</v>
      </c>
      <c r="B63" s="142" t="s">
        <v>254</v>
      </c>
    </row>
    <row r="64" spans="1:18" ht="15.75">
      <c r="A64" s="138"/>
      <c r="B64" s="144" t="s">
        <v>253</v>
      </c>
    </row>
    <row r="65" spans="1:18" ht="15.75">
      <c r="A65" s="138"/>
      <c r="B65" s="353" t="s">
        <v>14</v>
      </c>
      <c r="C65" s="365" t="s">
        <v>73</v>
      </c>
      <c r="D65" s="366"/>
      <c r="E65" s="366"/>
      <c r="F65" s="366"/>
      <c r="G65" s="366"/>
      <c r="H65" s="366"/>
      <c r="I65" s="366"/>
      <c r="J65" s="366"/>
      <c r="K65" s="365" t="s">
        <v>252</v>
      </c>
      <c r="L65" s="366"/>
      <c r="M65" s="366"/>
      <c r="N65" s="366"/>
      <c r="O65" s="365" t="s">
        <v>30</v>
      </c>
      <c r="P65" s="366"/>
      <c r="Q65" s="366"/>
      <c r="R65" s="383"/>
    </row>
    <row r="66" spans="1:18" ht="15.75">
      <c r="A66" s="138"/>
      <c r="B66" s="354"/>
      <c r="C66" s="367" t="s">
        <v>73</v>
      </c>
      <c r="D66" s="368"/>
      <c r="E66" s="368"/>
      <c r="F66" s="368"/>
      <c r="G66" s="368"/>
      <c r="H66" s="368"/>
      <c r="I66" s="368"/>
      <c r="J66" s="368"/>
      <c r="K66" s="367" t="s">
        <v>251</v>
      </c>
      <c r="L66" s="368"/>
      <c r="M66" s="368"/>
      <c r="N66" s="368"/>
      <c r="O66" s="367" t="s">
        <v>250</v>
      </c>
      <c r="P66" s="368"/>
      <c r="Q66" s="368"/>
      <c r="R66" s="369"/>
    </row>
    <row r="67" spans="1:18" ht="15.75">
      <c r="A67" s="138"/>
      <c r="B67" s="190">
        <v>1</v>
      </c>
      <c r="C67" s="388" t="str">
        <f>[6]Laporan!C42</f>
        <v>Resistansi pembumian protektif (Ω)</v>
      </c>
      <c r="D67" s="389"/>
      <c r="E67" s="389"/>
      <c r="F67" s="389"/>
      <c r="G67" s="389"/>
      <c r="H67" s="389"/>
      <c r="I67" s="389"/>
      <c r="J67" s="390"/>
      <c r="K67" s="355">
        <f>laporan!C41</f>
        <v>0.22263428605574145</v>
      </c>
      <c r="L67" s="356"/>
      <c r="M67" s="356"/>
      <c r="N67" s="357"/>
      <c r="O67" s="372" t="s">
        <v>249</v>
      </c>
      <c r="P67" s="373"/>
      <c r="Q67" s="373"/>
      <c r="R67" s="374"/>
    </row>
    <row r="68" spans="1:18" ht="15.75">
      <c r="A68" s="138"/>
      <c r="B68" s="190">
        <v>2</v>
      </c>
      <c r="C68" s="358" t="str">
        <f>[6]Laporan!C44</f>
        <v>Resistansi Isolasi (MΩ)</v>
      </c>
      <c r="D68" s="359"/>
      <c r="E68" s="359"/>
      <c r="F68" s="359"/>
      <c r="G68" s="359"/>
      <c r="H68" s="359"/>
      <c r="I68" s="359"/>
      <c r="J68" s="360"/>
      <c r="K68" s="355" t="str">
        <f>laporan!C43</f>
        <v>OR</v>
      </c>
      <c r="L68" s="356"/>
      <c r="M68" s="356"/>
      <c r="N68" s="357"/>
      <c r="O68" s="375" t="s">
        <v>248</v>
      </c>
      <c r="P68" s="376"/>
      <c r="Q68" s="376"/>
      <c r="R68" s="377"/>
    </row>
    <row r="69" spans="1:18" ht="15.75">
      <c r="A69" s="138"/>
      <c r="B69" s="190">
        <v>3</v>
      </c>
      <c r="C69" s="358" t="str">
        <f>[6]Laporan!C46</f>
        <v>Arus bocor peralatan (µA)</v>
      </c>
      <c r="D69" s="359"/>
      <c r="E69" s="359"/>
      <c r="F69" s="359"/>
      <c r="G69" s="359"/>
      <c r="H69" s="359"/>
      <c r="I69" s="359"/>
      <c r="J69" s="360"/>
      <c r="K69" s="355">
        <f>laporan!C45</f>
        <v>0.89197493568702391</v>
      </c>
      <c r="L69" s="356"/>
      <c r="M69" s="356"/>
      <c r="N69" s="357"/>
      <c r="O69" s="375" t="s">
        <v>247</v>
      </c>
      <c r="P69" s="376"/>
      <c r="Q69" s="376"/>
      <c r="R69" s="377"/>
    </row>
    <row r="70" spans="1:18" ht="15.75">
      <c r="A70" s="138"/>
      <c r="B70" s="183"/>
      <c r="C70" s="184"/>
      <c r="D70" s="184"/>
      <c r="E70" s="184"/>
      <c r="F70" s="184"/>
      <c r="G70" s="184"/>
      <c r="H70" s="184"/>
      <c r="I70" s="184"/>
      <c r="J70" s="184"/>
      <c r="K70" s="185"/>
      <c r="L70" s="185"/>
      <c r="M70" s="185"/>
      <c r="N70" s="185"/>
      <c r="O70" s="183"/>
      <c r="P70" s="183"/>
      <c r="Q70" s="183"/>
      <c r="R70" s="183"/>
    </row>
    <row r="71" spans="1:18" ht="15.75">
      <c r="A71" s="138"/>
      <c r="B71" s="183"/>
      <c r="C71" s="184"/>
      <c r="D71" s="184"/>
      <c r="E71" s="184"/>
      <c r="F71" s="184"/>
      <c r="G71" s="184"/>
      <c r="H71" s="184"/>
      <c r="I71" s="184"/>
      <c r="J71" s="184"/>
      <c r="K71" s="185"/>
      <c r="L71" s="185"/>
      <c r="M71" s="185"/>
      <c r="N71" s="185"/>
      <c r="O71" s="183"/>
      <c r="P71" s="183"/>
      <c r="Q71" s="183"/>
      <c r="R71" s="183"/>
    </row>
    <row r="72" spans="1:18" ht="15.75">
      <c r="A72" s="138"/>
      <c r="B72" s="183"/>
      <c r="C72" s="184"/>
      <c r="D72" s="184"/>
      <c r="E72" s="184"/>
      <c r="F72" s="184"/>
      <c r="G72" s="184"/>
      <c r="H72" s="184"/>
      <c r="I72" s="184"/>
      <c r="J72" s="184"/>
      <c r="K72" s="185"/>
      <c r="L72" s="185"/>
      <c r="M72" s="185"/>
      <c r="N72" s="185"/>
      <c r="O72" s="183"/>
      <c r="P72" s="183"/>
      <c r="Q72" s="183"/>
      <c r="R72" s="183"/>
    </row>
    <row r="73" spans="1:18" ht="15.75">
      <c r="A73" s="138"/>
      <c r="B73" s="183"/>
      <c r="C73" s="184"/>
      <c r="D73" s="184"/>
      <c r="E73" s="184"/>
      <c r="F73" s="184"/>
      <c r="G73" s="184"/>
      <c r="H73" s="184"/>
      <c r="I73" s="184"/>
      <c r="J73" s="184"/>
      <c r="K73" s="185"/>
      <c r="L73" s="185"/>
      <c r="M73" s="185"/>
      <c r="N73" s="185"/>
      <c r="O73" s="183"/>
      <c r="P73" s="183"/>
      <c r="Q73" s="183"/>
      <c r="R73" s="183"/>
    </row>
    <row r="74" spans="1:18" ht="15.75">
      <c r="A74" s="138"/>
      <c r="B74" s="183"/>
      <c r="C74" s="184"/>
      <c r="D74" s="184"/>
      <c r="E74" s="184"/>
      <c r="F74" s="184"/>
      <c r="G74" s="184"/>
      <c r="H74" s="184"/>
      <c r="I74" s="184"/>
      <c r="J74" s="184"/>
      <c r="K74" s="185"/>
      <c r="L74" s="185"/>
      <c r="M74" s="185"/>
      <c r="N74" s="185"/>
      <c r="O74" s="183"/>
      <c r="P74" s="183"/>
      <c r="Q74" s="183"/>
      <c r="R74" s="183"/>
    </row>
    <row r="75" spans="1:18" ht="15.75">
      <c r="A75" s="138"/>
      <c r="B75" s="183"/>
      <c r="C75" s="184"/>
      <c r="D75" s="184"/>
      <c r="E75" s="184"/>
      <c r="F75" s="184"/>
      <c r="G75" s="184"/>
      <c r="H75" s="184"/>
      <c r="I75" s="184"/>
      <c r="J75" s="184"/>
      <c r="K75" s="185"/>
      <c r="L75" s="185"/>
      <c r="M75" s="185"/>
      <c r="N75" s="185"/>
      <c r="O75" s="183"/>
      <c r="P75" s="183"/>
      <c r="Q75" s="183"/>
      <c r="R75" s="183"/>
    </row>
    <row r="76" spans="1:18" ht="15.75">
      <c r="A76" s="138"/>
      <c r="B76" s="183"/>
      <c r="C76" s="184"/>
      <c r="D76" s="184"/>
      <c r="E76" s="184"/>
      <c r="F76" s="184"/>
      <c r="G76" s="184"/>
      <c r="H76" s="184"/>
      <c r="I76" s="184"/>
      <c r="J76" s="184"/>
      <c r="K76" s="185"/>
      <c r="L76" s="185"/>
      <c r="M76" s="185"/>
      <c r="N76" s="185"/>
      <c r="O76" s="183"/>
      <c r="P76" s="183"/>
      <c r="Q76" s="183"/>
      <c r="R76" s="183"/>
    </row>
    <row r="77" spans="1:18" ht="15.75">
      <c r="A77" s="138"/>
      <c r="B77" s="183"/>
      <c r="C77" s="184"/>
      <c r="D77" s="184"/>
      <c r="E77" s="184"/>
      <c r="F77" s="184"/>
      <c r="G77" s="184"/>
      <c r="H77" s="184"/>
      <c r="I77" s="184"/>
      <c r="J77" s="184"/>
      <c r="K77" s="185"/>
      <c r="L77" s="185"/>
      <c r="M77" s="185"/>
      <c r="N77" s="185"/>
      <c r="O77" s="183"/>
      <c r="P77" s="183"/>
      <c r="Q77" s="183"/>
      <c r="R77" s="183"/>
    </row>
    <row r="78" spans="1:18" ht="15.75">
      <c r="A78" s="138"/>
      <c r="B78" s="183"/>
      <c r="C78" s="184"/>
      <c r="D78" s="184"/>
      <c r="E78" s="184"/>
      <c r="F78" s="184"/>
      <c r="G78" s="184"/>
      <c r="H78" s="184"/>
      <c r="I78" s="184"/>
      <c r="J78" s="184"/>
      <c r="K78" s="185"/>
      <c r="L78" s="185"/>
      <c r="M78" s="185"/>
      <c r="N78" s="185"/>
      <c r="O78" s="183"/>
      <c r="P78" s="183"/>
      <c r="Q78" s="183"/>
      <c r="R78" s="183"/>
    </row>
    <row r="79" spans="1:18" ht="15.75">
      <c r="A79" s="138"/>
      <c r="B79" s="183"/>
      <c r="C79" s="184"/>
      <c r="D79" s="184"/>
      <c r="E79" s="184"/>
      <c r="F79" s="184"/>
      <c r="G79" s="184"/>
      <c r="H79" s="184"/>
      <c r="I79" s="184"/>
      <c r="J79" s="184"/>
      <c r="K79" s="185"/>
      <c r="L79" s="185"/>
      <c r="M79" s="185"/>
      <c r="N79" s="185"/>
      <c r="O79" s="183"/>
      <c r="P79" s="183"/>
      <c r="Q79" s="183"/>
      <c r="R79" s="183"/>
    </row>
    <row r="80" spans="1:18" ht="15.75">
      <c r="A80" s="138"/>
      <c r="B80" s="183"/>
      <c r="C80" s="184"/>
      <c r="D80" s="184"/>
      <c r="E80" s="184"/>
      <c r="F80" s="184"/>
      <c r="G80" s="184"/>
      <c r="H80" s="184"/>
      <c r="I80" s="184"/>
      <c r="J80" s="184"/>
      <c r="K80" s="185"/>
      <c r="L80" s="185"/>
      <c r="M80" s="185"/>
      <c r="N80" s="185"/>
      <c r="O80" s="183"/>
      <c r="P80" s="183"/>
      <c r="Q80" s="183"/>
      <c r="R80" s="183"/>
    </row>
    <row r="81" spans="1:19" ht="15.75">
      <c r="A81" s="138"/>
      <c r="B81" s="183"/>
      <c r="C81" s="184"/>
      <c r="D81" s="184"/>
      <c r="E81" s="184"/>
      <c r="F81" s="184"/>
      <c r="G81" s="184"/>
      <c r="H81" s="184"/>
      <c r="I81" s="184"/>
      <c r="J81" s="184"/>
      <c r="K81" s="185"/>
      <c r="L81" s="185"/>
      <c r="M81" s="185"/>
      <c r="N81" s="185"/>
      <c r="O81" s="183"/>
      <c r="P81" s="183"/>
      <c r="Q81" s="183"/>
      <c r="R81" s="183"/>
    </row>
    <row r="82" spans="1:19" ht="15.75">
      <c r="A82" s="138"/>
      <c r="B82" s="183"/>
      <c r="C82" s="184"/>
      <c r="D82" s="184"/>
      <c r="E82" s="184"/>
      <c r="F82" s="184"/>
      <c r="G82" s="184"/>
      <c r="H82" s="184"/>
      <c r="I82" s="184"/>
      <c r="J82" s="184"/>
      <c r="K82" s="185"/>
      <c r="L82" s="185"/>
      <c r="M82" s="185"/>
      <c r="N82" s="185"/>
      <c r="O82" s="183"/>
      <c r="P82" s="183"/>
      <c r="Q82" s="183"/>
      <c r="R82" s="183"/>
    </row>
    <row r="83" spans="1:19" ht="15.75">
      <c r="A83" s="138"/>
      <c r="B83" s="183"/>
      <c r="C83" s="184"/>
      <c r="D83" s="184"/>
      <c r="E83" s="184"/>
      <c r="F83" s="184"/>
      <c r="G83" s="184"/>
      <c r="H83" s="184"/>
      <c r="I83" s="184"/>
      <c r="J83" s="184"/>
      <c r="K83" s="185"/>
      <c r="L83" s="185"/>
      <c r="M83" s="185"/>
      <c r="N83" s="185"/>
      <c r="O83" s="183"/>
      <c r="P83" s="183"/>
      <c r="Q83" s="183"/>
      <c r="R83" s="183"/>
    </row>
    <row r="84" spans="1:19" ht="15.75">
      <c r="A84" s="141" t="s">
        <v>246</v>
      </c>
      <c r="B84" s="141" t="s">
        <v>245</v>
      </c>
      <c r="C84" s="142"/>
    </row>
    <row r="85" spans="1:19" ht="15.75">
      <c r="A85" s="138"/>
      <c r="B85" s="144" t="s">
        <v>244</v>
      </c>
    </row>
    <row r="86" spans="1:19" ht="46.5" customHeight="1">
      <c r="A86" s="138"/>
      <c r="B86" s="386" t="s">
        <v>242</v>
      </c>
      <c r="C86" s="386"/>
      <c r="D86" s="386"/>
      <c r="E86" s="386"/>
      <c r="F86" s="386"/>
      <c r="G86" s="386"/>
      <c r="H86" s="386"/>
      <c r="I86" s="386"/>
      <c r="J86" s="386"/>
      <c r="K86" s="361" t="s">
        <v>302</v>
      </c>
      <c r="L86" s="362"/>
      <c r="M86" s="362"/>
      <c r="N86" s="363"/>
      <c r="O86" s="385" t="s">
        <v>243</v>
      </c>
      <c r="P86" s="385"/>
      <c r="Q86" s="385"/>
      <c r="R86" s="385"/>
      <c r="S86" s="181"/>
    </row>
    <row r="87" spans="1:19" ht="15.75">
      <c r="A87" s="138"/>
      <c r="B87" s="352" t="str">
        <f>laporan!A52</f>
        <v>Glukosa</v>
      </c>
      <c r="C87" s="352"/>
      <c r="D87" s="352"/>
      <c r="E87" s="352"/>
      <c r="F87" s="352"/>
      <c r="G87" s="352"/>
      <c r="H87" s="352"/>
      <c r="I87" s="352"/>
      <c r="J87" s="352"/>
      <c r="K87" s="349">
        <f>laporan!C52</f>
        <v>1.3333333333333333</v>
      </c>
      <c r="L87" s="350"/>
      <c r="M87" s="350"/>
      <c r="N87" s="351"/>
      <c r="O87" s="348">
        <f>laporan!D52</f>
        <v>2.0542602567605219</v>
      </c>
      <c r="P87" s="348"/>
      <c r="Q87" s="348"/>
      <c r="R87" s="348"/>
      <c r="S87" s="182"/>
    </row>
    <row r="88" spans="1:19" ht="15.75">
      <c r="A88" s="138"/>
      <c r="B88" s="352" t="str">
        <f>laporan!A53</f>
        <v>Protein</v>
      </c>
      <c r="C88" s="352"/>
      <c r="D88" s="352"/>
      <c r="E88" s="352"/>
      <c r="F88" s="352"/>
      <c r="G88" s="352"/>
      <c r="H88" s="352"/>
      <c r="I88" s="352"/>
      <c r="J88" s="352"/>
      <c r="K88" s="349">
        <f>laporan!C53</f>
        <v>2.3333333333333335</v>
      </c>
      <c r="L88" s="350"/>
      <c r="M88" s="350"/>
      <c r="N88" s="351"/>
      <c r="O88" s="348">
        <f>laporan!D53</f>
        <v>2.0542602567605233</v>
      </c>
      <c r="P88" s="348"/>
      <c r="Q88" s="348"/>
      <c r="R88" s="348"/>
      <c r="S88" s="182"/>
    </row>
    <row r="89" spans="1:19" ht="15.75">
      <c r="A89" s="138"/>
      <c r="B89" s="352" t="str">
        <f>laporan!A54</f>
        <v>Ph</v>
      </c>
      <c r="C89" s="352"/>
      <c r="D89" s="352"/>
      <c r="E89" s="352"/>
      <c r="F89" s="352"/>
      <c r="G89" s="352"/>
      <c r="H89" s="352"/>
      <c r="I89" s="352"/>
      <c r="J89" s="352"/>
      <c r="K89" s="349">
        <f>laporan!C54</f>
        <v>3.6666666666666665</v>
      </c>
      <c r="L89" s="350"/>
      <c r="M89" s="350"/>
      <c r="N89" s="351"/>
      <c r="O89" s="348">
        <f>laporan!D54</f>
        <v>0.87612970180212635</v>
      </c>
      <c r="P89" s="348"/>
      <c r="Q89" s="348"/>
      <c r="R89" s="348"/>
      <c r="S89" s="182"/>
    </row>
    <row r="90" spans="1:19" ht="15.75">
      <c r="A90" s="138"/>
      <c r="B90" s="352" t="str">
        <f>laporan!A55</f>
        <v>Specific Gravity</v>
      </c>
      <c r="C90" s="352"/>
      <c r="D90" s="352"/>
      <c r="E90" s="352"/>
      <c r="F90" s="352"/>
      <c r="G90" s="352"/>
      <c r="H90" s="352"/>
      <c r="I90" s="352"/>
      <c r="J90" s="352"/>
      <c r="K90" s="349">
        <f>laporan!C55</f>
        <v>1.6666666666666667</v>
      </c>
      <c r="L90" s="350"/>
      <c r="M90" s="350"/>
      <c r="N90" s="351"/>
      <c r="O90" s="348">
        <f>laporan!D55</f>
        <v>5.1211810870633858</v>
      </c>
      <c r="P90" s="348"/>
      <c r="Q90" s="348"/>
      <c r="R90" s="348"/>
      <c r="S90" s="182"/>
    </row>
    <row r="91" spans="1:19" ht="15.75">
      <c r="A91" s="138"/>
      <c r="B91" s="352" t="str">
        <f>laporan!A56</f>
        <v>Blood / Erythrocyte</v>
      </c>
      <c r="C91" s="352"/>
      <c r="D91" s="352"/>
      <c r="E91" s="352"/>
      <c r="F91" s="352"/>
      <c r="G91" s="352"/>
      <c r="H91" s="352"/>
      <c r="I91" s="352"/>
      <c r="J91" s="352"/>
      <c r="K91" s="349">
        <f>laporan!C56</f>
        <v>4.333333333333333</v>
      </c>
      <c r="L91" s="350"/>
      <c r="M91" s="350"/>
      <c r="N91" s="351"/>
      <c r="O91" s="348">
        <f>laporan!D56</f>
        <v>2.0542602567605188</v>
      </c>
      <c r="P91" s="348"/>
      <c r="Q91" s="348"/>
      <c r="R91" s="348"/>
    </row>
    <row r="92" spans="1:19" ht="15.75">
      <c r="A92" s="138"/>
      <c r="B92" s="352" t="str">
        <f>laporan!A57</f>
        <v>Leukosit</v>
      </c>
      <c r="C92" s="352"/>
      <c r="D92" s="352"/>
      <c r="E92" s="352"/>
      <c r="F92" s="352"/>
      <c r="G92" s="352"/>
      <c r="H92" s="352"/>
      <c r="I92" s="352"/>
      <c r="J92" s="352"/>
      <c r="K92" s="349">
        <f>laporan!C57</f>
        <v>4.333333333333333</v>
      </c>
      <c r="L92" s="350"/>
      <c r="M92" s="350"/>
      <c r="N92" s="351"/>
      <c r="O92" s="348">
        <f>laporan!D57</f>
        <v>2.0542602567605188</v>
      </c>
      <c r="P92" s="348"/>
      <c r="Q92" s="348"/>
      <c r="R92" s="348"/>
    </row>
    <row r="93" spans="1:19" ht="15.75">
      <c r="A93" s="138"/>
      <c r="B93" s="352" t="str">
        <f>laporan!A58</f>
        <v>Nitrit</v>
      </c>
      <c r="C93" s="352"/>
      <c r="D93" s="352"/>
      <c r="E93" s="352"/>
      <c r="F93" s="352"/>
      <c r="G93" s="352"/>
      <c r="H93" s="352"/>
      <c r="I93" s="352"/>
      <c r="J93" s="352"/>
      <c r="K93" s="349">
        <f>laporan!C58</f>
        <v>4.333333333333333</v>
      </c>
      <c r="L93" s="350"/>
      <c r="M93" s="350"/>
      <c r="N93" s="351"/>
      <c r="O93" s="348">
        <f>laporan!D58</f>
        <v>2.0542602567605188</v>
      </c>
      <c r="P93" s="348"/>
      <c r="Q93" s="348"/>
      <c r="R93" s="348"/>
    </row>
    <row r="94" spans="1:19" ht="15.75">
      <c r="A94" s="138"/>
      <c r="B94" s="352" t="str">
        <f>laporan!A59</f>
        <v>Keton</v>
      </c>
      <c r="C94" s="352"/>
      <c r="D94" s="352"/>
      <c r="E94" s="352"/>
      <c r="F94" s="352"/>
      <c r="G94" s="352"/>
      <c r="H94" s="352"/>
      <c r="I94" s="352"/>
      <c r="J94" s="352"/>
      <c r="K94" s="349">
        <f>laporan!C59</f>
        <v>4.333333333333333</v>
      </c>
      <c r="L94" s="350"/>
      <c r="M94" s="350"/>
      <c r="N94" s="351"/>
      <c r="O94" s="348">
        <f>laporan!D59</f>
        <v>2.0542602567605188</v>
      </c>
      <c r="P94" s="348"/>
      <c r="Q94" s="348"/>
      <c r="R94" s="348"/>
    </row>
    <row r="95" spans="1:19" ht="15.75">
      <c r="A95" s="138"/>
      <c r="B95" s="352" t="str">
        <f>laporan!A60</f>
        <v>Bilirubin</v>
      </c>
      <c r="C95" s="352"/>
      <c r="D95" s="352"/>
      <c r="E95" s="352"/>
      <c r="F95" s="352"/>
      <c r="G95" s="352"/>
      <c r="H95" s="352"/>
      <c r="I95" s="352"/>
      <c r="J95" s="352"/>
      <c r="K95" s="349">
        <f>laporan!C60</f>
        <v>4.333333333333333</v>
      </c>
      <c r="L95" s="350"/>
      <c r="M95" s="350"/>
      <c r="N95" s="351"/>
      <c r="O95" s="348">
        <f>laporan!D60</f>
        <v>2.0542602567605188</v>
      </c>
      <c r="P95" s="348"/>
      <c r="Q95" s="348"/>
      <c r="R95" s="348"/>
    </row>
    <row r="96" spans="1:19" ht="15.75">
      <c r="A96" s="138"/>
      <c r="B96" s="352" t="str">
        <f>laporan!A61</f>
        <v>Urobilinogen</v>
      </c>
      <c r="C96" s="352"/>
      <c r="D96" s="352"/>
      <c r="E96" s="352"/>
      <c r="F96" s="352"/>
      <c r="G96" s="352"/>
      <c r="H96" s="352"/>
      <c r="I96" s="352"/>
      <c r="J96" s="352"/>
      <c r="K96" s="349">
        <f>laporan!C61</f>
        <v>4.333333333333333</v>
      </c>
      <c r="L96" s="350"/>
      <c r="M96" s="350"/>
      <c r="N96" s="351"/>
      <c r="O96" s="348">
        <f>laporan!D61</f>
        <v>2.0542602567605188</v>
      </c>
      <c r="P96" s="348"/>
      <c r="Q96" s="348"/>
      <c r="R96" s="348"/>
    </row>
    <row r="97" spans="1:22" s="189" customFormat="1" ht="15.75">
      <c r="A97" s="186"/>
      <c r="B97" s="187"/>
      <c r="C97" s="187"/>
      <c r="D97" s="187"/>
      <c r="E97" s="187"/>
      <c r="F97" s="187"/>
      <c r="G97" s="187"/>
      <c r="H97" s="187"/>
      <c r="I97" s="187"/>
      <c r="J97" s="187"/>
      <c r="K97" s="186"/>
      <c r="L97" s="188"/>
      <c r="M97" s="188"/>
      <c r="N97" s="188"/>
      <c r="O97" s="188"/>
      <c r="P97" s="188"/>
      <c r="Q97" s="188"/>
    </row>
    <row r="98" spans="1:22" ht="15.75">
      <c r="A98" s="141" t="s">
        <v>241</v>
      </c>
      <c r="B98" s="141" t="s">
        <v>240</v>
      </c>
    </row>
    <row r="99" spans="1:22" ht="15.75">
      <c r="A99" s="138"/>
      <c r="B99" s="139" t="s">
        <v>239</v>
      </c>
      <c r="K99" s="151"/>
    </row>
    <row r="100" spans="1:22" ht="15.75">
      <c r="A100" s="138"/>
      <c r="B100" s="143">
        <v>1</v>
      </c>
      <c r="C100" s="138" t="s">
        <v>238</v>
      </c>
      <c r="H100" s="134" t="s">
        <v>193</v>
      </c>
      <c r="I100" s="138" t="str">
        <f>laporan!C71</f>
        <v>Alat Dinyatakan Laik Pakai</v>
      </c>
      <c r="V100" s="164"/>
    </row>
    <row r="101" spans="1:22" ht="15.75">
      <c r="A101" s="138"/>
      <c r="B101" s="143"/>
      <c r="C101" s="139" t="s">
        <v>237</v>
      </c>
      <c r="D101" s="151"/>
      <c r="E101" s="151"/>
      <c r="F101" s="151"/>
      <c r="G101" s="151"/>
      <c r="H101" s="151"/>
      <c r="I101" s="139" t="s">
        <v>236</v>
      </c>
      <c r="J101" s="151"/>
      <c r="V101" s="164"/>
    </row>
    <row r="102" spans="1:22" ht="15.75">
      <c r="A102" s="138"/>
      <c r="B102" s="153">
        <v>2</v>
      </c>
      <c r="C102" s="138" t="s">
        <v>235</v>
      </c>
      <c r="D102" s="138"/>
      <c r="E102" s="138"/>
      <c r="F102" s="138"/>
      <c r="G102" s="138"/>
      <c r="H102" s="138" t="s">
        <v>193</v>
      </c>
      <c r="I102" s="138" t="s">
        <v>234</v>
      </c>
    </row>
    <row r="103" spans="1:22" ht="15.75">
      <c r="A103" s="138"/>
      <c r="C103" s="139" t="s">
        <v>233</v>
      </c>
      <c r="D103" s="151"/>
      <c r="E103" s="151"/>
      <c r="F103" s="151"/>
      <c r="G103" s="151"/>
      <c r="H103" s="151"/>
      <c r="I103" s="139" t="s">
        <v>232</v>
      </c>
    </row>
    <row r="104" spans="1:22" ht="15.75">
      <c r="A104" s="138"/>
      <c r="C104" s="139"/>
      <c r="D104" s="151"/>
      <c r="E104" s="151"/>
      <c r="F104" s="151"/>
      <c r="G104" s="151"/>
      <c r="H104" s="151"/>
      <c r="I104" s="139"/>
    </row>
    <row r="105" spans="1:22" ht="15.75">
      <c r="A105" s="138"/>
      <c r="C105" s="139"/>
      <c r="D105" s="151"/>
      <c r="E105" s="151"/>
      <c r="F105" s="151"/>
      <c r="G105" s="151"/>
      <c r="H105" s="151"/>
      <c r="I105" s="139"/>
    </row>
    <row r="106" spans="1:22" ht="15.75">
      <c r="A106" s="138"/>
      <c r="C106" s="139"/>
      <c r="D106" s="151"/>
      <c r="E106" s="151"/>
      <c r="F106" s="151"/>
      <c r="G106" s="151"/>
      <c r="H106" s="151"/>
      <c r="I106" s="139"/>
    </row>
    <row r="107" spans="1:22" ht="15.75">
      <c r="A107" s="138"/>
      <c r="C107" s="139"/>
      <c r="D107" s="151"/>
      <c r="E107" s="151"/>
      <c r="F107" s="151"/>
      <c r="G107" s="151"/>
      <c r="H107" s="151"/>
      <c r="I107" s="139"/>
    </row>
    <row r="108" spans="1:22" ht="15.75">
      <c r="A108" s="138"/>
      <c r="C108" s="139"/>
      <c r="D108" s="151"/>
      <c r="E108" s="151"/>
      <c r="F108" s="151"/>
      <c r="G108" s="151"/>
      <c r="H108" s="151"/>
      <c r="I108" s="139"/>
    </row>
    <row r="109" spans="1:22" ht="15.75">
      <c r="A109" s="138"/>
      <c r="C109" s="139"/>
      <c r="D109" s="151"/>
      <c r="E109" s="151"/>
      <c r="F109" s="151"/>
      <c r="G109" s="151"/>
      <c r="H109" s="151"/>
      <c r="I109" s="139"/>
    </row>
    <row r="110" spans="1:22" ht="15.75">
      <c r="A110" s="138"/>
      <c r="C110" s="139"/>
      <c r="D110" s="151"/>
      <c r="E110" s="151"/>
      <c r="F110" s="151"/>
      <c r="G110" s="151"/>
      <c r="H110" s="151"/>
      <c r="I110" s="139"/>
    </row>
    <row r="111" spans="1:22" ht="15.75">
      <c r="A111" s="138"/>
      <c r="C111" s="139"/>
      <c r="D111" s="151"/>
      <c r="E111" s="151"/>
      <c r="F111" s="151"/>
      <c r="G111" s="151"/>
      <c r="H111" s="151"/>
      <c r="I111" s="139"/>
    </row>
    <row r="112" spans="1:22" ht="15.75">
      <c r="A112" s="138"/>
      <c r="C112" s="139"/>
      <c r="D112" s="151"/>
      <c r="E112" s="151"/>
      <c r="F112" s="151"/>
      <c r="G112" s="151"/>
      <c r="H112" s="151"/>
      <c r="I112" s="139"/>
    </row>
    <row r="113" spans="1:38" ht="15.75">
      <c r="A113" s="138"/>
      <c r="C113" s="139"/>
      <c r="D113" s="151"/>
      <c r="E113" s="151"/>
      <c r="F113" s="151"/>
      <c r="G113" s="151"/>
      <c r="H113" s="151"/>
      <c r="I113" s="139"/>
    </row>
    <row r="114" spans="1:38" ht="15.75">
      <c r="A114" s="138"/>
      <c r="C114" s="139"/>
      <c r="D114" s="151"/>
      <c r="E114" s="151"/>
      <c r="F114" s="151"/>
      <c r="G114" s="151"/>
      <c r="H114" s="151"/>
      <c r="I114" s="139"/>
    </row>
    <row r="115" spans="1:38" ht="15.75">
      <c r="A115" s="138"/>
      <c r="C115" s="139"/>
      <c r="D115" s="151"/>
      <c r="E115" s="151"/>
      <c r="F115" s="151"/>
      <c r="G115" s="151"/>
      <c r="H115" s="151"/>
      <c r="I115" s="139"/>
    </row>
    <row r="116" spans="1:38" ht="15.75">
      <c r="A116" s="138"/>
      <c r="C116" s="139"/>
      <c r="D116" s="151"/>
      <c r="E116" s="151"/>
      <c r="F116" s="151"/>
      <c r="G116" s="151"/>
      <c r="H116" s="151"/>
      <c r="I116" s="139"/>
    </row>
    <row r="117" spans="1:38" ht="15.75">
      <c r="A117" s="138"/>
      <c r="C117" s="139"/>
      <c r="D117" s="151"/>
      <c r="E117" s="151"/>
      <c r="F117" s="151"/>
      <c r="G117" s="151"/>
      <c r="H117" s="151"/>
      <c r="I117" s="139"/>
    </row>
    <row r="118" spans="1:38" ht="15.75">
      <c r="A118" s="138"/>
      <c r="B118" s="138" t="s">
        <v>231</v>
      </c>
      <c r="C118" s="138"/>
      <c r="D118" s="138"/>
      <c r="E118" s="138"/>
      <c r="F118" s="138"/>
      <c r="G118" s="138"/>
      <c r="H118" s="138"/>
      <c r="I118" s="138"/>
      <c r="J118" s="138"/>
      <c r="K118" s="138"/>
      <c r="L118" s="138"/>
      <c r="M118" s="138"/>
      <c r="N118" s="138"/>
      <c r="O118" s="138"/>
      <c r="P118" s="138"/>
      <c r="Q118" s="138"/>
      <c r="R118" s="138"/>
      <c r="S118" s="138"/>
    </row>
    <row r="119" spans="1:38" ht="15.75">
      <c r="A119" s="138"/>
      <c r="B119" s="139" t="s">
        <v>230</v>
      </c>
      <c r="C119" s="138"/>
      <c r="D119" s="138"/>
      <c r="E119" s="138"/>
      <c r="F119" s="138"/>
      <c r="G119" s="138"/>
      <c r="H119" s="138"/>
      <c r="I119" s="138"/>
      <c r="J119" s="138"/>
      <c r="K119" s="139"/>
      <c r="L119" s="139"/>
      <c r="M119" s="139"/>
      <c r="N119" s="138"/>
      <c r="O119" s="138"/>
      <c r="P119" s="138"/>
      <c r="Q119" s="138"/>
      <c r="R119" s="138"/>
      <c r="S119" s="138"/>
    </row>
    <row r="120" spans="1:38" ht="30.75" customHeight="1">
      <c r="A120" s="138"/>
      <c r="B120" s="162">
        <v>1</v>
      </c>
      <c r="C120" s="393" t="s">
        <v>229</v>
      </c>
      <c r="D120" s="393"/>
      <c r="E120" s="393"/>
      <c r="F120" s="393"/>
      <c r="G120" s="393"/>
      <c r="H120" s="393"/>
      <c r="I120" s="393"/>
      <c r="J120" s="393"/>
      <c r="K120" s="393"/>
      <c r="L120" s="393"/>
      <c r="M120" s="393"/>
      <c r="N120" s="393"/>
      <c r="O120" s="393"/>
      <c r="P120" s="393"/>
      <c r="Q120" s="393"/>
      <c r="R120" s="393"/>
      <c r="S120" s="138"/>
    </row>
    <row r="121" spans="1:38" ht="29.25" customHeight="1">
      <c r="A121" s="138"/>
      <c r="B121" s="162"/>
      <c r="C121" s="394" t="s">
        <v>228</v>
      </c>
      <c r="D121" s="394"/>
      <c r="E121" s="394"/>
      <c r="F121" s="394"/>
      <c r="G121" s="394"/>
      <c r="H121" s="394"/>
      <c r="I121" s="394"/>
      <c r="J121" s="394"/>
      <c r="K121" s="394"/>
      <c r="L121" s="394"/>
      <c r="M121" s="394"/>
      <c r="N121" s="394"/>
      <c r="O121" s="394"/>
      <c r="P121" s="394"/>
      <c r="Q121" s="394"/>
      <c r="R121" s="394"/>
      <c r="S121" s="138"/>
    </row>
    <row r="122" spans="1:38" ht="21.75" customHeight="1">
      <c r="A122" s="138"/>
      <c r="B122" s="162">
        <v>2</v>
      </c>
      <c r="C122" s="395" t="s">
        <v>304</v>
      </c>
      <c r="D122" s="395"/>
      <c r="E122" s="395"/>
      <c r="F122" s="395"/>
      <c r="G122" s="395"/>
      <c r="H122" s="395"/>
      <c r="I122" s="395"/>
      <c r="J122" s="395"/>
      <c r="K122" s="395"/>
      <c r="L122" s="395"/>
      <c r="M122" s="395"/>
      <c r="N122" s="395"/>
      <c r="O122" s="395"/>
      <c r="P122" s="395"/>
      <c r="Q122" s="395"/>
      <c r="R122" s="395"/>
      <c r="S122" s="163"/>
    </row>
    <row r="123" spans="1:38" ht="17.25" customHeight="1">
      <c r="A123" s="138"/>
      <c r="B123" s="162"/>
      <c r="C123" s="391" t="s">
        <v>305</v>
      </c>
      <c r="D123" s="392"/>
      <c r="E123" s="392"/>
      <c r="F123" s="392"/>
      <c r="G123" s="392"/>
      <c r="H123" s="392"/>
      <c r="I123" s="392"/>
      <c r="J123" s="392"/>
      <c r="K123" s="392"/>
      <c r="L123" s="392"/>
      <c r="M123" s="392"/>
      <c r="N123" s="392"/>
      <c r="O123" s="392"/>
      <c r="P123" s="392"/>
      <c r="Q123" s="392"/>
      <c r="R123" s="392"/>
      <c r="S123" s="138"/>
    </row>
    <row r="124" spans="1:38" s="192" customFormat="1" ht="17.25" customHeight="1">
      <c r="A124" s="193"/>
      <c r="B124" s="198">
        <v>3</v>
      </c>
      <c r="C124" s="197" t="s">
        <v>307</v>
      </c>
      <c r="D124" s="196"/>
      <c r="E124" s="196"/>
      <c r="F124" s="196"/>
      <c r="G124" s="196"/>
      <c r="H124" s="196"/>
      <c r="I124" s="194"/>
      <c r="J124" s="194"/>
      <c r="K124" s="191"/>
      <c r="L124" s="191"/>
      <c r="M124" s="191"/>
      <c r="N124" s="191"/>
      <c r="O124" s="191"/>
      <c r="P124" s="191"/>
      <c r="Q124" s="191"/>
      <c r="R124" s="191"/>
      <c r="S124" s="193"/>
    </row>
    <row r="125" spans="1:38" s="192" customFormat="1" ht="17.25" customHeight="1">
      <c r="A125" s="193"/>
      <c r="B125" s="198"/>
      <c r="C125" s="195" t="s">
        <v>308</v>
      </c>
      <c r="D125" s="194"/>
      <c r="E125" s="194"/>
      <c r="F125" s="194"/>
      <c r="G125" s="194"/>
      <c r="H125" s="194"/>
      <c r="I125" s="194"/>
      <c r="J125" s="194"/>
      <c r="K125" s="191"/>
      <c r="L125" s="191"/>
      <c r="M125" s="191"/>
      <c r="N125" s="191"/>
      <c r="O125" s="191"/>
      <c r="P125" s="191"/>
      <c r="Q125" s="191"/>
      <c r="R125" s="191"/>
      <c r="S125" s="193"/>
    </row>
    <row r="126" spans="1:38" ht="15.75">
      <c r="A126" s="138"/>
      <c r="B126" s="153">
        <v>4</v>
      </c>
      <c r="C126" s="138" t="s">
        <v>227</v>
      </c>
      <c r="D126" s="138"/>
      <c r="E126" s="138"/>
      <c r="F126" s="138"/>
      <c r="G126" s="138"/>
      <c r="H126" s="138"/>
      <c r="I126" s="138"/>
      <c r="J126" s="138"/>
      <c r="K126" s="138"/>
      <c r="L126" s="138"/>
      <c r="M126" s="138"/>
      <c r="N126" s="138"/>
      <c r="O126" s="138"/>
      <c r="P126" s="138"/>
      <c r="Q126" s="138"/>
      <c r="R126" s="138"/>
      <c r="S126" s="138"/>
    </row>
    <row r="127" spans="1:38" s="160" customFormat="1" ht="32.25" customHeight="1">
      <c r="A127" s="161"/>
      <c r="B127" s="161"/>
      <c r="C127" s="391" t="s">
        <v>226</v>
      </c>
      <c r="D127" s="391"/>
      <c r="E127" s="391"/>
      <c r="F127" s="391"/>
      <c r="G127" s="391"/>
      <c r="H127" s="391"/>
      <c r="I127" s="391"/>
      <c r="J127" s="391"/>
      <c r="K127" s="391"/>
      <c r="L127" s="391"/>
      <c r="M127" s="391"/>
      <c r="N127" s="391"/>
      <c r="O127" s="391"/>
      <c r="P127" s="391"/>
      <c r="Q127" s="391"/>
      <c r="R127" s="391"/>
      <c r="S127" s="161"/>
      <c r="AE127" s="194"/>
      <c r="AF127" s="194"/>
      <c r="AG127" s="194"/>
      <c r="AH127" s="194"/>
      <c r="AI127" s="194"/>
      <c r="AJ127" s="194"/>
      <c r="AK127" s="194"/>
      <c r="AL127" s="194"/>
    </row>
    <row r="128" spans="1:38" ht="15.75">
      <c r="A128" s="138"/>
      <c r="B128" s="138"/>
      <c r="C128" s="138" t="s">
        <v>225</v>
      </c>
      <c r="D128" s="138"/>
      <c r="E128" s="138"/>
      <c r="F128" s="138"/>
      <c r="G128" s="138"/>
      <c r="H128" s="138"/>
      <c r="I128" s="138"/>
      <c r="J128" s="138"/>
      <c r="K128" s="138"/>
      <c r="L128" s="138"/>
      <c r="M128" s="138"/>
      <c r="N128" s="138"/>
      <c r="O128" s="138"/>
      <c r="P128" s="138"/>
      <c r="Q128" s="138"/>
      <c r="R128" s="138"/>
      <c r="S128" s="138"/>
      <c r="AE128" s="194"/>
      <c r="AF128" s="194"/>
      <c r="AG128" s="194"/>
      <c r="AH128" s="194"/>
      <c r="AI128" s="194"/>
      <c r="AJ128" s="194"/>
      <c r="AK128" s="194"/>
      <c r="AL128" s="194"/>
    </row>
    <row r="129" spans="1:19" ht="15.75">
      <c r="A129" s="138"/>
      <c r="B129" s="138"/>
      <c r="C129" s="139" t="s">
        <v>224</v>
      </c>
      <c r="D129" s="138"/>
      <c r="E129" s="138"/>
      <c r="F129" s="138"/>
      <c r="G129" s="138"/>
      <c r="H129" s="138"/>
      <c r="I129" s="138"/>
      <c r="J129" s="138"/>
      <c r="K129" s="138"/>
      <c r="L129" s="138"/>
      <c r="M129" s="138"/>
      <c r="N129" s="138"/>
      <c r="O129" s="138"/>
      <c r="P129" s="138"/>
      <c r="Q129" s="138"/>
      <c r="R129" s="138"/>
      <c r="S129" s="138"/>
    </row>
    <row r="130" spans="1:19" ht="15.75">
      <c r="A130" s="138"/>
      <c r="B130" s="138"/>
      <c r="C130" s="138"/>
      <c r="D130" s="138"/>
      <c r="E130" s="138"/>
      <c r="F130" s="138"/>
      <c r="G130" s="138"/>
      <c r="H130" s="138"/>
      <c r="I130" s="138"/>
      <c r="J130" s="138"/>
      <c r="K130" s="138"/>
      <c r="L130" s="138"/>
      <c r="M130" s="138"/>
      <c r="N130" s="138"/>
      <c r="O130" s="138"/>
      <c r="P130" s="138"/>
      <c r="Q130" s="138"/>
      <c r="R130" s="138"/>
      <c r="S130" s="138"/>
    </row>
    <row r="131" spans="1:19" ht="15.75">
      <c r="A131" s="138"/>
      <c r="B131" s="138"/>
      <c r="C131" s="138"/>
      <c r="D131" s="138"/>
      <c r="E131" s="138"/>
      <c r="F131" s="138"/>
      <c r="G131" s="138"/>
      <c r="H131" s="138"/>
      <c r="I131" s="138"/>
      <c r="J131" s="138"/>
      <c r="K131" s="138"/>
      <c r="L131" s="138"/>
      <c r="M131" s="138"/>
      <c r="N131" s="138"/>
      <c r="O131" s="138"/>
      <c r="P131" s="138"/>
      <c r="Q131" s="138"/>
      <c r="R131" s="138"/>
      <c r="S131" s="138"/>
    </row>
    <row r="132" spans="1:19" ht="15.75">
      <c r="A132" s="138"/>
      <c r="B132" s="138"/>
      <c r="C132" s="138"/>
      <c r="D132" s="138"/>
      <c r="E132" s="138"/>
      <c r="F132" s="138"/>
      <c r="G132" s="138"/>
      <c r="H132" s="138"/>
      <c r="I132" s="138"/>
      <c r="J132" s="138"/>
      <c r="K132" s="138"/>
      <c r="L132" s="138"/>
      <c r="M132" s="138"/>
      <c r="N132" s="138"/>
      <c r="O132" s="138"/>
      <c r="P132" s="138"/>
      <c r="Q132" s="138"/>
      <c r="R132" s="138"/>
      <c r="S132" s="138"/>
    </row>
    <row r="133" spans="1:19" ht="15.75">
      <c r="A133" s="138"/>
      <c r="B133" s="138"/>
      <c r="C133" s="138"/>
      <c r="D133" s="138"/>
      <c r="E133" s="138"/>
      <c r="F133" s="138"/>
      <c r="G133" s="138"/>
      <c r="H133" s="138"/>
      <c r="I133" s="138"/>
      <c r="J133" s="138"/>
      <c r="K133" s="138"/>
      <c r="L133" s="138"/>
      <c r="M133" s="138"/>
      <c r="N133" s="138"/>
      <c r="O133" s="138"/>
      <c r="P133" s="138"/>
      <c r="Q133" s="138"/>
      <c r="R133" s="138"/>
      <c r="S133" s="138"/>
    </row>
    <row r="134" spans="1:19" ht="15.75">
      <c r="A134" s="138"/>
      <c r="B134" s="138"/>
      <c r="C134" s="138" t="s">
        <v>223</v>
      </c>
      <c r="D134" s="138"/>
      <c r="E134" s="138"/>
      <c r="F134" s="138"/>
      <c r="G134" s="138"/>
      <c r="H134" s="138"/>
      <c r="I134" s="138"/>
      <c r="J134" s="138"/>
      <c r="K134" s="138"/>
      <c r="L134" s="138"/>
      <c r="M134" s="138"/>
      <c r="N134" s="138"/>
      <c r="O134" s="138"/>
      <c r="P134" s="138"/>
      <c r="Q134" s="138"/>
      <c r="R134" s="138"/>
      <c r="S134" s="138"/>
    </row>
    <row r="135" spans="1:19" ht="15.75">
      <c r="A135" s="138"/>
      <c r="B135" s="138"/>
      <c r="C135" s="138" t="s">
        <v>222</v>
      </c>
      <c r="D135" s="138"/>
      <c r="E135" s="138"/>
      <c r="F135" s="138"/>
      <c r="G135" s="138"/>
      <c r="H135" s="138"/>
      <c r="I135" s="138"/>
      <c r="J135" s="138"/>
      <c r="K135" s="138"/>
      <c r="L135" s="138"/>
      <c r="M135" s="138"/>
      <c r="N135" s="138"/>
      <c r="O135" s="138"/>
      <c r="P135" s="138"/>
      <c r="Q135" s="138"/>
      <c r="R135" s="138"/>
      <c r="S135" s="138"/>
    </row>
    <row r="136" spans="1:19" ht="15.75">
      <c r="A136" s="138"/>
      <c r="B136" s="138"/>
      <c r="C136" s="139" t="s">
        <v>221</v>
      </c>
      <c r="D136" s="138"/>
      <c r="E136" s="138"/>
      <c r="F136" s="138"/>
      <c r="G136" s="138"/>
      <c r="H136" s="138"/>
      <c r="I136" s="138"/>
      <c r="J136" s="138"/>
      <c r="K136" s="153"/>
      <c r="L136" s="153"/>
      <c r="M136" s="153"/>
      <c r="N136" s="138"/>
      <c r="O136" s="138"/>
      <c r="P136" s="138"/>
      <c r="Q136" s="138"/>
      <c r="R136" s="138"/>
      <c r="S136" s="138"/>
    </row>
    <row r="137" spans="1:19" ht="15.75">
      <c r="A137" s="138"/>
      <c r="B137" s="138"/>
      <c r="C137" s="138"/>
      <c r="D137" s="138"/>
      <c r="E137" s="138"/>
      <c r="F137" s="138"/>
      <c r="G137" s="138"/>
      <c r="H137" s="138"/>
      <c r="I137" s="138"/>
      <c r="J137" s="138"/>
      <c r="K137" s="154"/>
      <c r="L137" s="154"/>
      <c r="M137" s="154"/>
      <c r="N137" s="138"/>
      <c r="O137" s="138"/>
      <c r="P137" s="138"/>
      <c r="Q137" s="138"/>
      <c r="R137" s="138"/>
      <c r="S137" s="138"/>
    </row>
    <row r="138" spans="1:19" ht="15.75">
      <c r="A138" s="380" t="s">
        <v>220</v>
      </c>
      <c r="B138" s="380"/>
      <c r="C138" s="380"/>
      <c r="D138" s="380"/>
      <c r="E138" s="380"/>
      <c r="F138" s="380"/>
      <c r="G138" s="380"/>
      <c r="H138" s="380"/>
      <c r="I138" s="380"/>
      <c r="J138" s="380"/>
      <c r="K138" s="380"/>
      <c r="L138" s="380"/>
      <c r="M138" s="380"/>
      <c r="N138" s="380"/>
      <c r="O138" s="380"/>
      <c r="P138" s="380"/>
      <c r="Q138" s="380"/>
      <c r="R138" s="380"/>
      <c r="S138" s="380"/>
    </row>
    <row r="139" spans="1:19">
      <c r="A139" s="387" t="s">
        <v>219</v>
      </c>
      <c r="B139" s="387"/>
      <c r="C139" s="387"/>
      <c r="D139" s="387"/>
      <c r="E139" s="387"/>
      <c r="F139" s="387"/>
      <c r="G139" s="387"/>
      <c r="H139" s="387"/>
      <c r="I139" s="387"/>
      <c r="J139" s="387"/>
      <c r="K139" s="387"/>
      <c r="L139" s="387"/>
      <c r="M139" s="387"/>
      <c r="N139" s="387"/>
      <c r="O139" s="387"/>
      <c r="P139" s="387"/>
      <c r="Q139" s="387"/>
      <c r="R139" s="387"/>
      <c r="S139" s="387"/>
    </row>
    <row r="140" spans="1:19" s="34" customFormat="1">
      <c r="K140" s="134"/>
      <c r="L140" s="134"/>
      <c r="M140" s="134"/>
    </row>
    <row r="141" spans="1:19" s="34" customFormat="1">
      <c r="K141" s="134"/>
      <c r="L141" s="134"/>
      <c r="M141" s="134"/>
    </row>
  </sheetData>
  <mergeCells count="84">
    <mergeCell ref="A138:S138"/>
    <mergeCell ref="A139:S139"/>
    <mergeCell ref="C65:J65"/>
    <mergeCell ref="C66:J66"/>
    <mergeCell ref="C67:J67"/>
    <mergeCell ref="K67:N67"/>
    <mergeCell ref="C123:R123"/>
    <mergeCell ref="C120:R120"/>
    <mergeCell ref="C121:R121"/>
    <mergeCell ref="C122:R122"/>
    <mergeCell ref="C127:R127"/>
    <mergeCell ref="O69:R69"/>
    <mergeCell ref="K89:N89"/>
    <mergeCell ref="K90:N90"/>
    <mergeCell ref="O87:R87"/>
    <mergeCell ref="O88:R88"/>
    <mergeCell ref="O86:R86"/>
    <mergeCell ref="K87:N87"/>
    <mergeCell ref="K88:N88"/>
    <mergeCell ref="B86:J86"/>
    <mergeCell ref="B87:J87"/>
    <mergeCell ref="B88:J88"/>
    <mergeCell ref="Q8:S8"/>
    <mergeCell ref="O65:R65"/>
    <mergeCell ref="O66:R66"/>
    <mergeCell ref="K65:N65"/>
    <mergeCell ref="K66:N66"/>
    <mergeCell ref="O60:R60"/>
    <mergeCell ref="J41:K41"/>
    <mergeCell ref="O57:R57"/>
    <mergeCell ref="H60:K60"/>
    <mergeCell ref="L60:N60"/>
    <mergeCell ref="O59:R59"/>
    <mergeCell ref="H61:K61"/>
    <mergeCell ref="L61:N61"/>
    <mergeCell ref="O61:R61"/>
    <mergeCell ref="O67:R67"/>
    <mergeCell ref="O68:R68"/>
    <mergeCell ref="A12:S12"/>
    <mergeCell ref="A13:S13"/>
    <mergeCell ref="A14:S14"/>
    <mergeCell ref="B57:G57"/>
    <mergeCell ref="B58:G58"/>
    <mergeCell ref="J28:M28"/>
    <mergeCell ref="J30:M30"/>
    <mergeCell ref="J32:M32"/>
    <mergeCell ref="L59:N59"/>
    <mergeCell ref="L57:N57"/>
    <mergeCell ref="L58:N58"/>
    <mergeCell ref="K68:N68"/>
    <mergeCell ref="C68:J68"/>
    <mergeCell ref="B61:G61"/>
    <mergeCell ref="B60:G60"/>
    <mergeCell ref="H57:K57"/>
    <mergeCell ref="H58:K58"/>
    <mergeCell ref="O58:R58"/>
    <mergeCell ref="H59:K59"/>
    <mergeCell ref="B59:G59"/>
    <mergeCell ref="B94:J94"/>
    <mergeCell ref="B95:J95"/>
    <mergeCell ref="B96:J96"/>
    <mergeCell ref="K91:N91"/>
    <mergeCell ref="B65:B66"/>
    <mergeCell ref="K69:N69"/>
    <mergeCell ref="C69:J69"/>
    <mergeCell ref="K86:N86"/>
    <mergeCell ref="B89:J89"/>
    <mergeCell ref="B90:J90"/>
    <mergeCell ref="O89:R89"/>
    <mergeCell ref="O90:R90"/>
    <mergeCell ref="B91:J91"/>
    <mergeCell ref="B92:J92"/>
    <mergeCell ref="B93:J93"/>
    <mergeCell ref="O91:R91"/>
    <mergeCell ref="O96:R96"/>
    <mergeCell ref="K92:N92"/>
    <mergeCell ref="K93:N93"/>
    <mergeCell ref="K94:N94"/>
    <mergeCell ref="K95:N95"/>
    <mergeCell ref="K96:N96"/>
    <mergeCell ref="O92:R92"/>
    <mergeCell ref="O93:R93"/>
    <mergeCell ref="O94:R94"/>
    <mergeCell ref="O95:R95"/>
  </mergeCells>
  <pageMargins left="0.70866141732283472" right="0.70866141732283472" top="0.74803149606299213" bottom="0.74803149606299213" header="0.31496062992125984" footer="0.31496062992125984"/>
  <pageSetup orientation="portrait" horizontalDpi="360" verticalDpi="360" r:id="rId1"/>
  <headerFooter>
    <oddHeader>&amp;C
&amp;G</oddHeader>
    <oddFooter xml:space="preserve">&amp;R
halaman  &amp;P+1 dari 5
</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DCE1D-C056-4912-B91D-7233A27D951A}">
  <dimension ref="A1:Y44"/>
  <sheetViews>
    <sheetView view="pageBreakPreview" zoomScale="112" zoomScaleNormal="100" zoomScaleSheetLayoutView="112" workbookViewId="0">
      <selection activeCell="V28" sqref="V28"/>
    </sheetView>
  </sheetViews>
  <sheetFormatPr defaultRowHeight="15"/>
  <cols>
    <col min="1" max="1" width="3.85546875" style="134" customWidth="1"/>
    <col min="2" max="2" width="4.7109375" style="134" customWidth="1"/>
    <col min="3" max="3" width="3.7109375" style="134" customWidth="1"/>
    <col min="4" max="5" width="4.28515625" style="134" customWidth="1"/>
    <col min="6" max="6" width="3.85546875" style="134" customWidth="1"/>
    <col min="7" max="7" width="3.7109375" style="134" customWidth="1"/>
    <col min="8" max="8" width="5.7109375" style="134" customWidth="1"/>
    <col min="9" max="9" width="4.85546875" style="134" customWidth="1"/>
    <col min="10" max="11" width="4.5703125" style="134" customWidth="1"/>
    <col min="12" max="12" width="5.140625" style="134" customWidth="1"/>
    <col min="13" max="13" width="5.42578125" style="134" customWidth="1"/>
    <col min="14" max="14" width="5" style="134" customWidth="1"/>
    <col min="15" max="15" width="4.7109375" style="134" customWidth="1"/>
    <col min="16" max="16" width="5" style="134" customWidth="1"/>
    <col min="17" max="17" width="5.7109375" style="134" customWidth="1"/>
    <col min="18" max="18" width="5.140625" style="134" customWidth="1"/>
    <col min="19" max="19" width="3.7109375" style="134" customWidth="1"/>
    <col min="20" max="20" width="9.5703125" style="134" hidden="1" customWidth="1"/>
    <col min="21" max="16384" width="9.140625" style="134"/>
  </cols>
  <sheetData>
    <row r="1" spans="1:25">
      <c r="A1" s="159"/>
      <c r="B1" s="159"/>
      <c r="C1" s="159"/>
      <c r="D1" s="159"/>
      <c r="E1" s="159"/>
      <c r="F1" s="159"/>
      <c r="G1" s="159"/>
      <c r="H1" s="159"/>
      <c r="I1" s="159"/>
      <c r="J1" s="159"/>
      <c r="K1" s="159"/>
      <c r="L1" s="159"/>
      <c r="M1" s="159"/>
      <c r="N1" s="159"/>
      <c r="O1" s="159"/>
      <c r="P1" s="159"/>
      <c r="Q1" s="159"/>
      <c r="R1" s="159"/>
      <c r="S1" s="159"/>
    </row>
    <row r="2" spans="1:25">
      <c r="A2" s="159"/>
      <c r="B2" s="159"/>
      <c r="C2" s="159"/>
      <c r="D2" s="159"/>
      <c r="E2" s="159"/>
      <c r="F2" s="159"/>
      <c r="G2" s="159"/>
      <c r="H2" s="159"/>
      <c r="I2" s="159"/>
      <c r="J2" s="158"/>
      <c r="K2" s="158"/>
      <c r="L2" s="158"/>
      <c r="M2" s="158"/>
      <c r="N2" s="158"/>
      <c r="O2" s="158"/>
      <c r="P2" s="158"/>
      <c r="Q2" s="158"/>
      <c r="R2" s="158"/>
      <c r="S2" s="158"/>
      <c r="T2" s="135"/>
      <c r="U2" s="135"/>
      <c r="V2" s="135"/>
      <c r="W2" s="135"/>
      <c r="X2" s="135"/>
      <c r="Y2" s="135"/>
    </row>
    <row r="3" spans="1:25">
      <c r="A3" s="159"/>
      <c r="B3" s="159"/>
      <c r="C3" s="159"/>
      <c r="D3" s="159"/>
      <c r="E3" s="159"/>
      <c r="F3" s="159"/>
      <c r="G3" s="159"/>
      <c r="H3" s="159"/>
      <c r="I3" s="159"/>
      <c r="J3" s="158"/>
      <c r="K3" s="158"/>
      <c r="L3" s="158"/>
      <c r="M3" s="158"/>
      <c r="N3" s="158"/>
      <c r="O3" s="158"/>
      <c r="P3" s="158"/>
      <c r="Q3" s="158"/>
      <c r="R3" s="158"/>
      <c r="S3" s="158"/>
      <c r="T3" s="135"/>
      <c r="U3" s="135"/>
      <c r="V3" s="135"/>
      <c r="W3" s="135"/>
      <c r="X3" s="135"/>
      <c r="Y3" s="135"/>
    </row>
    <row r="4" spans="1:25">
      <c r="A4" s="159"/>
      <c r="B4" s="159"/>
      <c r="C4" s="159"/>
      <c r="D4" s="159"/>
      <c r="E4" s="159"/>
      <c r="F4" s="159"/>
      <c r="G4" s="159"/>
      <c r="H4" s="159"/>
      <c r="I4" s="159"/>
      <c r="J4" s="158"/>
      <c r="K4" s="158"/>
      <c r="L4" s="158"/>
      <c r="M4" s="158"/>
      <c r="N4" s="158"/>
      <c r="O4" s="158"/>
      <c r="P4" s="158"/>
      <c r="Q4" s="158"/>
      <c r="R4" s="158"/>
      <c r="S4" s="158"/>
      <c r="T4" s="135"/>
      <c r="U4" s="135"/>
      <c r="V4" s="135"/>
      <c r="W4" s="135"/>
      <c r="X4" s="135"/>
      <c r="Y4" s="135"/>
    </row>
    <row r="5" spans="1:25">
      <c r="A5" s="159"/>
      <c r="B5" s="159"/>
      <c r="C5" s="159"/>
      <c r="D5" s="159"/>
      <c r="E5" s="159"/>
      <c r="F5" s="159"/>
      <c r="G5" s="159"/>
      <c r="H5" s="159"/>
      <c r="I5" s="159"/>
      <c r="J5" s="158"/>
      <c r="K5" s="158"/>
      <c r="L5" s="158"/>
      <c r="M5" s="158"/>
      <c r="N5" s="158"/>
      <c r="O5" s="158"/>
      <c r="P5" s="158"/>
      <c r="Q5" s="158"/>
      <c r="R5" s="158"/>
      <c r="S5" s="158"/>
      <c r="T5" s="135"/>
      <c r="U5" s="135"/>
      <c r="V5" s="135"/>
      <c r="W5" s="135"/>
      <c r="X5" s="135"/>
      <c r="Y5" s="135"/>
    </row>
    <row r="6" spans="1:25" ht="15.75" thickBot="1">
      <c r="A6" s="157"/>
      <c r="B6" s="157"/>
      <c r="C6" s="157"/>
      <c r="D6" s="157"/>
      <c r="E6" s="157"/>
      <c r="F6" s="157"/>
      <c r="G6" s="157"/>
      <c r="H6" s="157"/>
      <c r="I6" s="157"/>
      <c r="J6" s="156"/>
      <c r="K6" s="156"/>
      <c r="L6" s="156"/>
      <c r="M6" s="156"/>
      <c r="N6" s="156"/>
      <c r="O6" s="156"/>
      <c r="P6" s="156"/>
      <c r="Q6" s="156"/>
      <c r="R6" s="156"/>
      <c r="S6" s="156"/>
      <c r="T6" s="135"/>
      <c r="U6" s="135"/>
      <c r="V6" s="135"/>
      <c r="W6" s="135"/>
      <c r="X6" s="135"/>
      <c r="Y6" s="135"/>
    </row>
    <row r="7" spans="1:25" ht="15.75" thickTop="1">
      <c r="J7" s="135"/>
      <c r="K7" s="135"/>
      <c r="L7" s="135"/>
      <c r="M7" s="135"/>
      <c r="N7" s="135"/>
      <c r="O7" s="135"/>
      <c r="P7" s="135"/>
      <c r="Q7" s="135"/>
      <c r="R7" s="135"/>
      <c r="S7" s="135"/>
      <c r="T7" s="135"/>
      <c r="U7" s="135"/>
      <c r="V7" s="135"/>
      <c r="W7" s="135"/>
      <c r="X7" s="135"/>
      <c r="Y7" s="135"/>
    </row>
    <row r="8" spans="1:25" ht="15.75">
      <c r="L8" s="138" t="s">
        <v>192</v>
      </c>
      <c r="P8" s="134" t="s">
        <v>193</v>
      </c>
      <c r="Q8" s="382" t="str">
        <f>Skorsing!D5</f>
        <v>S.612</v>
      </c>
      <c r="R8" s="382"/>
      <c r="S8" s="382"/>
    </row>
    <row r="9" spans="1:25">
      <c r="L9" s="139" t="s">
        <v>194</v>
      </c>
    </row>
    <row r="10" spans="1:25" ht="11.25" customHeight="1">
      <c r="L10" s="139"/>
    </row>
    <row r="11" spans="1:25" ht="21">
      <c r="A11" s="378" t="s">
        <v>195</v>
      </c>
      <c r="B11" s="378"/>
      <c r="C11" s="378"/>
      <c r="D11" s="378"/>
      <c r="E11" s="378"/>
      <c r="F11" s="378"/>
      <c r="G11" s="378"/>
      <c r="H11" s="378"/>
      <c r="I11" s="378"/>
      <c r="J11" s="378"/>
      <c r="K11" s="378"/>
      <c r="L11" s="378"/>
      <c r="M11" s="378"/>
      <c r="N11" s="378"/>
      <c r="O11" s="378"/>
      <c r="P11" s="378"/>
      <c r="Q11" s="378"/>
      <c r="R11" s="378"/>
      <c r="S11" s="378"/>
    </row>
    <row r="12" spans="1:25" ht="16.5" customHeight="1">
      <c r="A12" s="398" t="s">
        <v>196</v>
      </c>
      <c r="B12" s="398"/>
      <c r="C12" s="398"/>
      <c r="D12" s="398"/>
      <c r="E12" s="398"/>
      <c r="F12" s="398"/>
      <c r="G12" s="398"/>
      <c r="H12" s="398"/>
      <c r="I12" s="398"/>
      <c r="J12" s="398"/>
      <c r="K12" s="398"/>
      <c r="L12" s="398"/>
      <c r="M12" s="398"/>
      <c r="N12" s="398"/>
      <c r="O12" s="398"/>
      <c r="P12" s="398"/>
      <c r="Q12" s="398"/>
      <c r="R12" s="398"/>
      <c r="S12" s="398"/>
    </row>
    <row r="13" spans="1:25" ht="18.75">
      <c r="A13" s="138"/>
      <c r="B13" s="140" t="s">
        <v>197</v>
      </c>
      <c r="C13" s="138"/>
      <c r="D13" s="138"/>
      <c r="E13" s="138"/>
      <c r="F13" s="138"/>
      <c r="G13" s="138"/>
      <c r="H13" s="138"/>
      <c r="I13" s="138"/>
      <c r="J13" s="138"/>
      <c r="K13" s="138"/>
      <c r="L13" s="138"/>
      <c r="M13" s="138"/>
      <c r="N13" s="138"/>
      <c r="O13" s="138"/>
      <c r="P13" s="138"/>
      <c r="Q13" s="138"/>
      <c r="R13" s="138"/>
      <c r="S13" s="138"/>
    </row>
    <row r="14" spans="1:25">
      <c r="B14" s="139" t="s">
        <v>198</v>
      </c>
    </row>
    <row r="15" spans="1:25" ht="15.75">
      <c r="A15" s="141"/>
      <c r="B15" s="142"/>
      <c r="C15" s="138" t="s">
        <v>15</v>
      </c>
      <c r="D15" s="142"/>
      <c r="F15" s="143" t="s">
        <v>193</v>
      </c>
      <c r="G15" s="134" t="str">
        <f>laporan!C6</f>
        <v>Urine Analyzer</v>
      </c>
    </row>
    <row r="16" spans="1:25" ht="15.75">
      <c r="A16" s="138"/>
      <c r="B16" s="139"/>
      <c r="C16" s="144" t="s">
        <v>199</v>
      </c>
      <c r="F16" s="143"/>
    </row>
    <row r="17" spans="1:25" ht="15.75">
      <c r="A17" s="138"/>
      <c r="B17" s="145"/>
      <c r="C17" s="145" t="s">
        <v>16</v>
      </c>
      <c r="F17" s="143" t="s">
        <v>193</v>
      </c>
      <c r="G17" s="134" t="str">
        <f>laporan!C8</f>
        <v>SM</v>
      </c>
    </row>
    <row r="18" spans="1:25" ht="15.75">
      <c r="A18" s="138"/>
      <c r="B18" s="144"/>
      <c r="C18" s="144" t="s">
        <v>200</v>
      </c>
      <c r="F18" s="143"/>
    </row>
    <row r="19" spans="1:25" ht="15.75">
      <c r="A19" s="138"/>
      <c r="B19" s="138"/>
      <c r="C19" s="138" t="s">
        <v>201</v>
      </c>
      <c r="F19" s="143" t="s">
        <v>193</v>
      </c>
      <c r="G19" s="134" t="str">
        <f>laporan!C9</f>
        <v>SM S-600</v>
      </c>
    </row>
    <row r="20" spans="1:25" ht="15.75">
      <c r="A20" s="138"/>
      <c r="B20" s="144"/>
      <c r="C20" s="144" t="s">
        <v>201</v>
      </c>
      <c r="F20" s="143"/>
    </row>
    <row r="21" spans="1:25" ht="15.75">
      <c r="A21" s="138"/>
      <c r="B21" s="138"/>
      <c r="C21" s="138" t="s">
        <v>202</v>
      </c>
      <c r="F21" s="143" t="s">
        <v>193</v>
      </c>
      <c r="G21" s="134">
        <f>laporan!C10</f>
        <v>111</v>
      </c>
    </row>
    <row r="22" spans="1:25" ht="15.75">
      <c r="A22" s="138"/>
      <c r="B22" s="144"/>
      <c r="C22" s="144" t="s">
        <v>203</v>
      </c>
      <c r="F22" s="143"/>
    </row>
    <row r="23" spans="1:25" ht="15.75" hidden="1">
      <c r="A23" s="138"/>
      <c r="B23" s="138"/>
      <c r="C23" s="138" t="s">
        <v>163</v>
      </c>
      <c r="F23" s="143" t="s">
        <v>193</v>
      </c>
      <c r="G23" s="134">
        <f>laporan!E5</f>
        <v>1</v>
      </c>
    </row>
    <row r="24" spans="1:25" ht="15.75" hidden="1">
      <c r="A24" s="138"/>
      <c r="B24" s="144"/>
      <c r="C24" s="144" t="s">
        <v>204</v>
      </c>
    </row>
    <row r="25" spans="1:25" ht="15.75">
      <c r="A25" s="138"/>
      <c r="B25" s="138"/>
    </row>
    <row r="26" spans="1:25" ht="18.75">
      <c r="A26" s="138"/>
      <c r="B26" s="146" t="s">
        <v>205</v>
      </c>
    </row>
    <row r="27" spans="1:25" ht="15.75">
      <c r="A27" s="138"/>
      <c r="B27" s="139" t="s">
        <v>206</v>
      </c>
    </row>
    <row r="28" spans="1:25" ht="15.75">
      <c r="A28" s="138"/>
      <c r="B28" s="144"/>
      <c r="C28" s="138" t="s">
        <v>207</v>
      </c>
      <c r="F28" s="143" t="s">
        <v>193</v>
      </c>
      <c r="G28" s="134" t="str">
        <f>laporan!E7</f>
        <v>PT. Presisi Kalibrasi Medika</v>
      </c>
    </row>
    <row r="29" spans="1:25" ht="15.75">
      <c r="A29" s="138"/>
      <c r="B29" s="138"/>
      <c r="C29" s="139" t="s">
        <v>208</v>
      </c>
    </row>
    <row r="30" spans="1:25" ht="15.75">
      <c r="A30" s="138"/>
      <c r="B30" s="144"/>
      <c r="C30" s="138" t="s">
        <v>209</v>
      </c>
      <c r="F30" s="143" t="s">
        <v>193</v>
      </c>
      <c r="G30" s="147"/>
      <c r="W30" s="155"/>
      <c r="X30" s="155"/>
      <c r="Y30" s="155"/>
    </row>
    <row r="31" spans="1:25" ht="15.75">
      <c r="A31" s="138"/>
      <c r="B31" s="138"/>
      <c r="C31" s="139" t="s">
        <v>210</v>
      </c>
      <c r="G31" s="148"/>
      <c r="W31" s="155"/>
      <c r="X31" s="155"/>
      <c r="Y31" s="155"/>
    </row>
    <row r="32" spans="1:25" ht="15.75">
      <c r="A32" s="141"/>
      <c r="B32" s="141"/>
    </row>
    <row r="33" spans="1:17" ht="15.75">
      <c r="A33" s="138"/>
      <c r="B33" s="149"/>
      <c r="C33" s="138"/>
      <c r="I33" s="138" t="s">
        <v>211</v>
      </c>
      <c r="N33" s="143" t="s">
        <v>193</v>
      </c>
      <c r="O33" s="150" t="s">
        <v>303</v>
      </c>
    </row>
    <row r="34" spans="1:17" ht="15.75">
      <c r="A34" s="138"/>
      <c r="C34" s="144"/>
      <c r="I34" s="139" t="s">
        <v>212</v>
      </c>
      <c r="N34" s="143"/>
    </row>
    <row r="35" spans="1:17" ht="15.75">
      <c r="A35" s="138"/>
      <c r="C35" s="138"/>
      <c r="I35" s="138" t="s">
        <v>213</v>
      </c>
      <c r="N35" s="143" t="s">
        <v>193</v>
      </c>
      <c r="O35" s="399"/>
      <c r="P35" s="399"/>
      <c r="Q35" s="399"/>
    </row>
    <row r="36" spans="1:17" ht="15.75">
      <c r="A36" s="138"/>
      <c r="C36" s="144"/>
      <c r="I36" s="151" t="s">
        <v>214</v>
      </c>
    </row>
    <row r="37" spans="1:17" ht="15.75">
      <c r="A37" s="138"/>
      <c r="C37" s="138"/>
    </row>
    <row r="38" spans="1:17" ht="15.75">
      <c r="A38" s="138"/>
      <c r="C38" s="144"/>
      <c r="K38" s="397" t="s">
        <v>215</v>
      </c>
      <c r="L38" s="397"/>
      <c r="M38" s="397"/>
      <c r="N38" s="397"/>
      <c r="O38" s="397"/>
    </row>
    <row r="39" spans="1:17" ht="15.75">
      <c r="A39" s="138"/>
      <c r="C39" s="144"/>
    </row>
    <row r="40" spans="1:17" ht="15.75">
      <c r="A40" s="138"/>
      <c r="C40" s="152"/>
    </row>
    <row r="41" spans="1:17" ht="15.75">
      <c r="A41" s="138"/>
      <c r="C41" s="152"/>
    </row>
    <row r="42" spans="1:17" ht="15.75">
      <c r="A42" s="138"/>
      <c r="C42" s="152"/>
      <c r="K42" s="396" t="s">
        <v>216</v>
      </c>
      <c r="L42" s="396"/>
      <c r="M42" s="396"/>
      <c r="N42" s="396"/>
      <c r="O42" s="396"/>
    </row>
    <row r="43" spans="1:17" ht="15.75">
      <c r="A43" s="141"/>
      <c r="B43" s="141"/>
      <c r="K43" s="380" t="s">
        <v>217</v>
      </c>
      <c r="L43" s="380"/>
      <c r="M43" s="380"/>
      <c r="N43" s="380"/>
      <c r="O43" s="380"/>
    </row>
    <row r="44" spans="1:17" ht="15.75">
      <c r="A44" s="138"/>
      <c r="B44" s="144"/>
      <c r="K44" s="387" t="s">
        <v>218</v>
      </c>
      <c r="L44" s="387"/>
      <c r="M44" s="387"/>
      <c r="N44" s="387"/>
      <c r="O44" s="387"/>
    </row>
  </sheetData>
  <mergeCells count="8">
    <mergeCell ref="Q8:S8"/>
    <mergeCell ref="A11:S11"/>
    <mergeCell ref="K42:O42"/>
    <mergeCell ref="K43:O43"/>
    <mergeCell ref="K44:O44"/>
    <mergeCell ref="K38:O38"/>
    <mergeCell ref="A12:S12"/>
    <mergeCell ref="O35:Q35"/>
  </mergeCells>
  <pageMargins left="0.70866141732283472" right="0.70866141732283472" top="0.74803149606299213" bottom="0.74803149606299213" header="0.31496062992125984" footer="0.31496062992125984"/>
  <pageSetup orientation="portrait" horizontalDpi="360" verticalDpi="360" r:id="rId1"/>
  <headerFooter>
    <oddHeader>&amp;C
&amp;G</oddHeader>
    <oddFooter xml:space="preserve">&amp;R
halaman 1 dari 6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Input data</vt:lpstr>
      <vt:lpstr>Skorsing</vt:lpstr>
      <vt:lpstr>budget</vt:lpstr>
      <vt:lpstr>ESA</vt:lpstr>
      <vt:lpstr>laporan</vt:lpstr>
      <vt:lpstr>Laporan Print </vt:lpstr>
      <vt:lpstr>Cover </vt:lpstr>
      <vt:lpstr>'Cover '!Print_Area</vt:lpstr>
      <vt:lpstr>'Laporan Print '!Print_Area</vt:lpstr>
      <vt:lpstr>'Cover '!Print_Titles</vt:lpstr>
      <vt:lpstr>'Laporan Print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2025-10-02T07:54:32Z</dcterms:created>
  <dcterms:modified xsi:type="dcterms:W3CDTF">2026-09-08T06:57:19Z</dcterms:modified>
</cp:coreProperties>
</file>