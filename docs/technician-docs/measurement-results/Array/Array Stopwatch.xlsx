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aster CMC\Array\"/>
    </mc:Choice>
  </mc:AlternateContent>
  <xr:revisionPtr revIDLastSave="0" documentId="13_ncr:1_{2419BCE3-140C-4EA5-AE92-2B5B0DE34E03}" xr6:coauthVersionLast="45" xr6:coauthVersionMax="45" xr10:uidLastSave="{00000000-0000-0000-0000-000000000000}"/>
  <bookViews>
    <workbookView xWindow="810" yWindow="-120" windowWidth="28110" windowHeight="16440" xr2:uid="{9E32C55E-4EE9-4E8B-B6A4-DDD336CF0FE7}"/>
  </bookViews>
  <sheets>
    <sheet name="ARRAY" sheetId="3" r:id="rId1"/>
    <sheet name="STP-01" sheetId="1" r:id="rId2"/>
    <sheet name="XTP-0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3" l="1"/>
  <c r="C5" i="3"/>
  <c r="D4" i="3"/>
  <c r="C4" i="3"/>
  <c r="J16" i="1"/>
  <c r="E5" i="3" l="1"/>
  <c r="E4" i="3"/>
  <c r="B5" i="3"/>
  <c r="B4" i="3"/>
  <c r="K16" i="2"/>
  <c r="J16" i="2"/>
  <c r="L16" i="2" s="1"/>
  <c r="M16" i="2" s="1"/>
  <c r="I16" i="2"/>
  <c r="K15" i="2"/>
  <c r="J15" i="2"/>
  <c r="I15" i="2"/>
  <c r="K14" i="2"/>
  <c r="J14" i="2"/>
  <c r="I14" i="2"/>
  <c r="K13" i="2"/>
  <c r="J13" i="2"/>
  <c r="I13" i="2"/>
  <c r="K12" i="2"/>
  <c r="J12" i="2"/>
  <c r="K14" i="1"/>
  <c r="L15" i="2" l="1"/>
  <c r="M15" i="2" s="1"/>
  <c r="L13" i="2"/>
  <c r="M13" i="2" s="1"/>
  <c r="L14" i="2"/>
  <c r="M14" i="2" s="1"/>
  <c r="L12" i="2"/>
  <c r="M12" i="2" s="1"/>
  <c r="K12" i="1" l="1"/>
  <c r="J12" i="1"/>
  <c r="L12" i="1" s="1"/>
  <c r="M12" i="1" s="1"/>
  <c r="J13" i="1"/>
  <c r="L13" i="1" s="1"/>
  <c r="M13" i="1" s="1"/>
  <c r="I16" i="1"/>
  <c r="L16" i="1"/>
  <c r="M16" i="1" s="1"/>
  <c r="K15" i="1"/>
  <c r="K16" i="1"/>
  <c r="K13" i="1"/>
  <c r="J14" i="1"/>
  <c r="L14" i="1" s="1"/>
  <c r="J15" i="1"/>
  <c r="L15" i="1" s="1"/>
  <c r="I14" i="1"/>
  <c r="I15" i="1"/>
  <c r="I13" i="1"/>
  <c r="M15" i="1" l="1"/>
  <c r="M14" i="1"/>
</calcChain>
</file>

<file path=xl/sharedStrings.xml><?xml version="1.0" encoding="utf-8"?>
<sst xmlns="http://schemas.openxmlformats.org/spreadsheetml/2006/main" count="119" uniqueCount="51">
  <si>
    <t>nama alat:</t>
  </si>
  <si>
    <t>Digital Stopwatch</t>
  </si>
  <si>
    <t>merk:</t>
  </si>
  <si>
    <t>ROX</t>
  </si>
  <si>
    <t>tipe:</t>
  </si>
  <si>
    <t>-</t>
  </si>
  <si>
    <t>no seri:</t>
  </si>
  <si>
    <t>STP-01</t>
  </si>
  <si>
    <t>Ketertelusuran:</t>
  </si>
  <si>
    <t>LK-032-IDN</t>
  </si>
  <si>
    <t>Kalibrasi selanjutnya:</t>
  </si>
  <si>
    <t>P. ALAT</t>
  </si>
  <si>
    <t>min</t>
  </si>
  <si>
    <t>s</t>
  </si>
  <si>
    <t>P. STANDAR</t>
  </si>
  <si>
    <t>1 MIN =</t>
  </si>
  <si>
    <t>KOREKSI</t>
  </si>
  <si>
    <t>y</t>
  </si>
  <si>
    <t>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</si>
  <si>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</si>
  <si>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</si>
  <si>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</si>
  <si>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</si>
  <si>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</si>
  <si>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</si>
  <si>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</si>
  <si>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</si>
  <si>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</si>
  <si>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</si>
  <si>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</si>
  <si>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</si>
  <si>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</si>
  <si>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</si>
  <si>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</si>
  <si>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</si>
  <si>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</si>
  <si>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</si>
  <si>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</si>
  <si>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</si>
  <si>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</si>
  <si>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</si>
  <si>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</si>
  <si>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</si>
  <si>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</si>
  <si>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STP-02</t>
  </si>
  <si>
    <t>no seri</t>
  </si>
  <si>
    <t>intercept</t>
  </si>
  <si>
    <t>variable</t>
  </si>
  <si>
    <t>regresi</t>
  </si>
  <si>
    <t>U95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</si>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</sst>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A653-6671-4FF2-B79E-8680E5D3465B}">
  <dimension ref="B2:E5"/>
  <sheetViews>
    <sheetView tabSelected="1" workbookViewId="0">
      <selection activeCell="J14" sqref="J14"/>
    </sheetView>
  </sheetViews>
  <sheetFormatPr defaultRowHeight="15" x14ac:dyDescent="0.25"/>
  <sheetData>
    <row r="2" spans="2:5" x14ac:dyDescent="0.25">
      <c r="B2" s="19" t="s">
        <v>45</v>
      </c>
      <c r="C2" s="19" t="s">
        <v>48</v>
      </c>
      <c r="D2" s="19"/>
      <c r="E2" s="19" t="s">
        <v>49</v>
      </c>
    </row>
    <row r="3" spans="2:5" x14ac:dyDescent="0.25">
      <c r="B3" s="19"/>
      <c r="C3" s="20" t="s">
        <v>46</v>
      </c>
      <c r="D3" s="20" t="s">
        <v>47</v>
      </c>
      <c r="E3" s="19"/>
    </row>
    <row r="4" spans="2:5" x14ac:dyDescent="0.25">
      <c r="B4" s="20" t="str">
        <f>'STP-01'!C4</f>
        <v>STP-01</v>
      </c>
      <c r="C4" s="20">
        <f>'STP-01'!D34</f>
        <v>-1.3567776537968257E-2</v>
      </c>
      <c r="D4" s="20">
        <f>'STP-01'!D35</f>
        <v>0.99997279600992994</v>
      </c>
      <c r="E4" s="20">
        <f>'STP-01'!N12</f>
        <v>0.12</v>
      </c>
    </row>
    <row r="5" spans="2:5" x14ac:dyDescent="0.25">
      <c r="B5" s="20" t="str">
        <f>'XTP-02'!C4</f>
        <v>STP-02</v>
      </c>
      <c r="C5" s="20">
        <f>'XTP-02'!D34</f>
        <v>-0.16456415541227898</v>
      </c>
      <c r="D5" s="20">
        <f>'XTP-02'!D35</f>
        <v>1.0000362454166571</v>
      </c>
      <c r="E5" s="20">
        <f>'XTP-02'!N12</f>
        <v>0.12</v>
      </c>
    </row>
  </sheetData>
  <mergeCells count="3">
    <mergeCell ref="E2:E3"/>
    <mergeCell ref="C2:D2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72AC-C1F9-417C-ACDE-3E81FBEF4A87}">
  <dimension ref="A1:N35"/>
  <sheetViews>
    <sheetView topLeftCell="A2" workbookViewId="0">
      <selection activeCell="C18" sqref="C18:K38"/>
    </sheetView>
  </sheetViews>
  <sheetFormatPr defaultRowHeight="15" x14ac:dyDescent="0.25"/>
  <cols>
    <col min="10" max="10" width="12.42578125" customWidth="1"/>
  </cols>
  <sheetData>
    <row r="1" spans="1:14" x14ac:dyDescent="0.25">
      <c r="A1" s="1" t="s">
        <v>0</v>
      </c>
      <c r="B1" s="1"/>
      <c r="C1" t="s">
        <v>1</v>
      </c>
    </row>
    <row r="2" spans="1:14" x14ac:dyDescent="0.25">
      <c r="A2" s="1" t="s">
        <v>2</v>
      </c>
      <c r="B2" s="1"/>
      <c r="C2" t="s">
        <v>3</v>
      </c>
    </row>
    <row r="3" spans="1:14" x14ac:dyDescent="0.25">
      <c r="A3" s="1" t="s">
        <v>4</v>
      </c>
      <c r="B3" s="1"/>
      <c r="C3" t="s">
        <v>5</v>
      </c>
    </row>
    <row r="4" spans="1:14" x14ac:dyDescent="0.25">
      <c r="A4" s="1" t="s">
        <v>6</v>
      </c>
      <c r="B4" s="1"/>
      <c r="C4" t="s">
        <v>7</v>
      </c>
    </row>
    <row r="5" spans="1:14" x14ac:dyDescent="0.25">
      <c r="A5" s="1" t="s">
        <v>8</v>
      </c>
      <c r="B5" s="1"/>
      <c r="C5" t="s">
        <v>9</v>
      </c>
    </row>
    <row r="6" spans="1:14" x14ac:dyDescent="0.25">
      <c r="A6" t="s">
        <v>10</v>
      </c>
      <c r="C6" s="3">
        <v>46575</v>
      </c>
      <c r="D6" s="3"/>
    </row>
    <row r="7" spans="1:14" x14ac:dyDescent="0.25">
      <c r="H7" s="4" t="s">
        <v>15</v>
      </c>
      <c r="I7" s="4">
        <v>60</v>
      </c>
      <c r="J7" s="4" t="s">
        <v>13</v>
      </c>
    </row>
    <row r="8" spans="1:14" x14ac:dyDescent="0.25">
      <c r="H8" s="11"/>
      <c r="I8" s="11"/>
      <c r="J8" s="11"/>
    </row>
    <row r="9" spans="1:14" x14ac:dyDescent="0.25">
      <c r="I9" s="2" t="s">
        <v>18</v>
      </c>
      <c r="L9" t="s">
        <v>50</v>
      </c>
    </row>
    <row r="10" spans="1:14" x14ac:dyDescent="0.25">
      <c r="C10" s="5" t="s">
        <v>11</v>
      </c>
      <c r="D10" s="5"/>
      <c r="E10" s="5" t="s">
        <v>14</v>
      </c>
      <c r="F10" s="5"/>
      <c r="G10" s="4" t="s">
        <v>49</v>
      </c>
      <c r="I10" s="6" t="s">
        <v>11</v>
      </c>
      <c r="J10" s="5" t="s">
        <v>14</v>
      </c>
      <c r="K10" s="5"/>
      <c r="L10" s="5"/>
      <c r="M10" s="6" t="s">
        <v>16</v>
      </c>
      <c r="N10" s="4" t="s">
        <v>49</v>
      </c>
    </row>
    <row r="11" spans="1:14" x14ac:dyDescent="0.25">
      <c r="C11" s="4" t="s">
        <v>12</v>
      </c>
      <c r="D11" s="4" t="s">
        <v>13</v>
      </c>
      <c r="E11" s="4" t="s">
        <v>12</v>
      </c>
      <c r="F11" s="4" t="s">
        <v>13</v>
      </c>
      <c r="G11" s="8" t="s">
        <v>13</v>
      </c>
      <c r="I11" s="9" t="s">
        <v>13</v>
      </c>
      <c r="J11" s="10" t="s">
        <v>13</v>
      </c>
      <c r="K11" s="10"/>
      <c r="L11" s="10"/>
      <c r="M11" s="9" t="s">
        <v>13</v>
      </c>
      <c r="N11" s="8" t="s">
        <v>13</v>
      </c>
    </row>
    <row r="12" spans="1:14" x14ac:dyDescent="0.25">
      <c r="C12" s="4">
        <v>0</v>
      </c>
      <c r="D12" s="7">
        <v>5</v>
      </c>
      <c r="E12" s="4">
        <v>0</v>
      </c>
      <c r="F12" s="4">
        <v>5.0199999999999996</v>
      </c>
      <c r="G12" s="16">
        <v>0.12</v>
      </c>
      <c r="I12" s="6">
        <v>5</v>
      </c>
      <c r="J12" s="6">
        <f>E12*$I$7</f>
        <v>0</v>
      </c>
      <c r="K12" s="6">
        <f>F12</f>
        <v>5.0199999999999996</v>
      </c>
      <c r="L12" s="6">
        <f>J12+K12</f>
        <v>5.0199999999999996</v>
      </c>
      <c r="M12" s="6">
        <f>L12-I12</f>
        <v>1.9999999999999574E-2</v>
      </c>
      <c r="N12" s="16">
        <v>0.12</v>
      </c>
    </row>
    <row r="13" spans="1:14" x14ac:dyDescent="0.25">
      <c r="C13" s="4">
        <v>3</v>
      </c>
      <c r="D13" s="7">
        <v>0</v>
      </c>
      <c r="E13" s="4">
        <v>2</v>
      </c>
      <c r="F13" s="4">
        <v>59.97</v>
      </c>
      <c r="G13" s="17"/>
      <c r="I13" s="6">
        <f>C13*$I$7</f>
        <v>180</v>
      </c>
      <c r="J13" s="6">
        <f>E13*$I$7</f>
        <v>120</v>
      </c>
      <c r="K13" s="6">
        <f>F13</f>
        <v>59.97</v>
      </c>
      <c r="L13" s="6">
        <f>J13+K13</f>
        <v>179.97</v>
      </c>
      <c r="M13" s="6">
        <f>L13-I13</f>
        <v>-3.0000000000001137E-2</v>
      </c>
      <c r="N13" s="17"/>
    </row>
    <row r="14" spans="1:14" x14ac:dyDescent="0.25">
      <c r="C14" s="4">
        <v>5</v>
      </c>
      <c r="D14" s="7">
        <v>0</v>
      </c>
      <c r="E14" s="4">
        <v>4</v>
      </c>
      <c r="F14" s="4">
        <v>59.96</v>
      </c>
      <c r="G14" s="17"/>
      <c r="I14" s="6">
        <f t="shared" ref="I14:I15" si="0">C14*$I$7</f>
        <v>300</v>
      </c>
      <c r="J14" s="6">
        <f t="shared" ref="J14:J15" si="1">E14*$I$7</f>
        <v>240</v>
      </c>
      <c r="K14" s="6">
        <f>F14</f>
        <v>59.96</v>
      </c>
      <c r="L14" s="6">
        <f t="shared" ref="L14:L16" si="2">J14+K14</f>
        <v>299.95999999999998</v>
      </c>
      <c r="M14" s="6">
        <f t="shared" ref="M14:M15" si="3">L14-I14</f>
        <v>-4.0000000000020464E-2</v>
      </c>
      <c r="N14" s="17"/>
    </row>
    <row r="15" spans="1:14" x14ac:dyDescent="0.25">
      <c r="C15" s="4">
        <v>10</v>
      </c>
      <c r="D15" s="7">
        <v>0</v>
      </c>
      <c r="E15" s="4">
        <v>9</v>
      </c>
      <c r="F15" s="4">
        <v>59.95</v>
      </c>
      <c r="G15" s="17"/>
      <c r="I15" s="6">
        <f t="shared" si="0"/>
        <v>600</v>
      </c>
      <c r="J15" s="6">
        <f t="shared" si="1"/>
        <v>540</v>
      </c>
      <c r="K15" s="6">
        <f t="shared" ref="K14:K16" si="4">F15</f>
        <v>59.95</v>
      </c>
      <c r="L15" s="6">
        <f t="shared" si="2"/>
        <v>599.95000000000005</v>
      </c>
      <c r="M15" s="6">
        <f t="shared" si="3"/>
        <v>-4.9999999999954525E-2</v>
      </c>
      <c r="N15" s="17"/>
    </row>
    <row r="16" spans="1:14" x14ac:dyDescent="0.25">
      <c r="C16" s="4">
        <v>20</v>
      </c>
      <c r="D16" s="7">
        <v>0</v>
      </c>
      <c r="E16" s="4">
        <v>19</v>
      </c>
      <c r="F16" s="4">
        <v>59.97</v>
      </c>
      <c r="G16" s="18"/>
      <c r="I16" s="6">
        <f>C16*$I$7</f>
        <v>1200</v>
      </c>
      <c r="J16" s="6">
        <f>E16*$I$7</f>
        <v>1140</v>
      </c>
      <c r="K16" s="6">
        <f t="shared" si="4"/>
        <v>59.97</v>
      </c>
      <c r="L16" s="6">
        <f t="shared" si="2"/>
        <v>1199.97</v>
      </c>
      <c r="M16" s="6">
        <f>L16-I16</f>
        <v>-2.9999999999972715E-2</v>
      </c>
      <c r="N16" s="18"/>
    </row>
    <row r="18" spans="3:8" x14ac:dyDescent="0.25">
      <c r="C18" t="s">
        <v>19</v>
      </c>
    </row>
    <row r="19" spans="3:8" ht="15.75" thickBot="1" x14ac:dyDescent="0.3"/>
    <row r="20" spans="3:8" x14ac:dyDescent="0.25">
      <c r="C20" s="15" t="s">
        <v>20</v>
      </c>
      <c r="D20" s="15"/>
    </row>
    <row r="21" spans="3:8" x14ac:dyDescent="0.25">
      <c r="C21" s="12" t="s">
        <v>21</v>
      </c>
      <c r="D21" s="12">
        <v>0.99999999870742884</v>
      </c>
    </row>
    <row r="22" spans="3:8" x14ac:dyDescent="0.25">
      <c r="C22" s="12" t="s">
        <v>22</v>
      </c>
      <c r="D22" s="12">
        <v>0.99999999741485779</v>
      </c>
    </row>
    <row r="23" spans="3:8" x14ac:dyDescent="0.25">
      <c r="C23" s="12" t="s">
        <v>23</v>
      </c>
      <c r="D23" s="12">
        <v>0.99999999655314376</v>
      </c>
    </row>
    <row r="24" spans="3:8" x14ac:dyDescent="0.25">
      <c r="C24" s="12" t="s">
        <v>24</v>
      </c>
      <c r="D24" s="12">
        <v>2.7508160469370893E-2</v>
      </c>
    </row>
    <row r="25" spans="3:8" ht="15.75" thickBot="1" x14ac:dyDescent="0.3">
      <c r="C25" s="13" t="s">
        <v>25</v>
      </c>
      <c r="D25" s="13">
        <v>5</v>
      </c>
    </row>
    <row r="27" spans="3:8" ht="15.75" thickBot="1" x14ac:dyDescent="0.3">
      <c r="C27" t="s">
        <v>26</v>
      </c>
    </row>
    <row r="28" spans="3:8" x14ac:dyDescent="0.25">
      <c r="C28" s="14"/>
      <c r="D28" s="14" t="s">
        <v>31</v>
      </c>
      <c r="E28" s="14" t="s">
        <v>32</v>
      </c>
      <c r="F28" s="14" t="s">
        <v>33</v>
      </c>
      <c r="G28" s="14" t="s">
        <v>34</v>
      </c>
      <c r="H28" s="14" t="s">
        <v>35</v>
      </c>
    </row>
    <row r="29" spans="3:8" x14ac:dyDescent="0.25">
      <c r="C29" s="12" t="s">
        <v>27</v>
      </c>
      <c r="D29" s="12">
        <v>1</v>
      </c>
      <c r="E29" s="12">
        <v>878132.22064990341</v>
      </c>
      <c r="F29" s="12">
        <v>878132.22064990341</v>
      </c>
      <c r="G29" s="12">
        <v>1160477740.1678331</v>
      </c>
      <c r="H29" s="12">
        <v>5.5784754099691791E-14</v>
      </c>
    </row>
    <row r="30" spans="3:8" x14ac:dyDescent="0.25">
      <c r="C30" s="12" t="s">
        <v>28</v>
      </c>
      <c r="D30" s="12">
        <v>3</v>
      </c>
      <c r="E30" s="12">
        <v>2.2700966772259785E-3</v>
      </c>
      <c r="F30" s="12">
        <v>7.5669889240865954E-4</v>
      </c>
      <c r="G30" s="12"/>
      <c r="H30" s="12"/>
    </row>
    <row r="31" spans="3:8" ht="15.75" thickBot="1" x14ac:dyDescent="0.3">
      <c r="C31" s="13" t="s">
        <v>29</v>
      </c>
      <c r="D31" s="13">
        <v>4</v>
      </c>
      <c r="E31" s="13">
        <v>878132.22292000009</v>
      </c>
      <c r="F31" s="13"/>
      <c r="G31" s="13"/>
      <c r="H31" s="13"/>
    </row>
    <row r="32" spans="3:8" ht="15.75" thickBot="1" x14ac:dyDescent="0.3"/>
    <row r="33" spans="3:11" x14ac:dyDescent="0.25">
      <c r="C33" s="14"/>
      <c r="D33" s="14" t="s">
        <v>36</v>
      </c>
      <c r="E33" s="14" t="s">
        <v>24</v>
      </c>
      <c r="F33" s="14" t="s">
        <v>37</v>
      </c>
      <c r="G33" s="14" t="s">
        <v>38</v>
      </c>
      <c r="H33" s="14" t="s">
        <v>39</v>
      </c>
      <c r="I33" s="14" t="s">
        <v>40</v>
      </c>
      <c r="J33" s="14" t="s">
        <v>41</v>
      </c>
      <c r="K33" s="14" t="s">
        <v>42</v>
      </c>
    </row>
    <row r="34" spans="3:11" x14ac:dyDescent="0.25">
      <c r="C34" s="12" t="s">
        <v>30</v>
      </c>
      <c r="D34" s="12">
        <v>-1.3567776537968257E-2</v>
      </c>
      <c r="E34" s="12">
        <v>1.8201596340041554E-2</v>
      </c>
      <c r="F34" s="12">
        <v>-0.74541684611039349</v>
      </c>
      <c r="G34" s="12">
        <v>0.51010835743002791</v>
      </c>
      <c r="H34" s="12">
        <v>-7.149337956059898E-2</v>
      </c>
      <c r="I34" s="12">
        <v>4.4357826484662473E-2</v>
      </c>
      <c r="J34" s="12">
        <v>-7.149337956059898E-2</v>
      </c>
      <c r="K34" s="12">
        <v>4.4357826484662473E-2</v>
      </c>
    </row>
    <row r="35" spans="3:11" ht="15.75" thickBot="1" x14ac:dyDescent="0.3">
      <c r="C35" s="13" t="s">
        <v>43</v>
      </c>
      <c r="D35" s="13">
        <v>0.99997279600992994</v>
      </c>
      <c r="E35" s="13">
        <v>2.9354168178034474E-5</v>
      </c>
      <c r="F35" s="13">
        <v>34065.78547704182</v>
      </c>
      <c r="G35" s="13">
        <v>5.5784754099691791E-14</v>
      </c>
      <c r="H35" s="13">
        <v>0.99987937794586712</v>
      </c>
      <c r="I35" s="13">
        <v>1.0000662140739929</v>
      </c>
      <c r="J35" s="13">
        <v>0.99987937794586712</v>
      </c>
      <c r="K35" s="13">
        <v>1.0000662140739929</v>
      </c>
    </row>
  </sheetData>
  <mergeCells count="12">
    <mergeCell ref="N12:N16"/>
    <mergeCell ref="C10:D10"/>
    <mergeCell ref="E10:F10"/>
    <mergeCell ref="J10:L10"/>
    <mergeCell ref="J11:L11"/>
    <mergeCell ref="G12:G16"/>
    <mergeCell ref="A1:B1"/>
    <mergeCell ref="A2:B2"/>
    <mergeCell ref="A3:B3"/>
    <mergeCell ref="A4:B4"/>
    <mergeCell ref="A5:B5"/>
    <mergeCell ref="C6:D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C0AB-55EA-4325-B196-7C1D31A1E756}">
  <dimension ref="A1:N35"/>
  <sheetViews>
    <sheetView workbookViewId="0">
      <selection activeCell="C18" sqref="C18:K38"/>
    </sheetView>
  </sheetViews>
  <sheetFormatPr defaultRowHeight="15" x14ac:dyDescent="0.25"/>
  <cols>
    <col min="10" max="10" width="12.42578125" customWidth="1"/>
  </cols>
  <sheetData>
    <row r="1" spans="1:14" x14ac:dyDescent="0.25">
      <c r="A1" s="1" t="s">
        <v>0</v>
      </c>
      <c r="B1" s="1"/>
      <c r="C1" t="s">
        <v>1</v>
      </c>
    </row>
    <row r="2" spans="1:14" x14ac:dyDescent="0.25">
      <c r="A2" s="1" t="s">
        <v>2</v>
      </c>
      <c r="B2" s="1"/>
      <c r="C2" t="s">
        <v>3</v>
      </c>
    </row>
    <row r="3" spans="1:14" x14ac:dyDescent="0.25">
      <c r="A3" s="1" t="s">
        <v>4</v>
      </c>
      <c r="B3" s="1"/>
      <c r="C3" t="s">
        <v>5</v>
      </c>
    </row>
    <row r="4" spans="1:14" x14ac:dyDescent="0.25">
      <c r="A4" s="1" t="s">
        <v>6</v>
      </c>
      <c r="B4" s="1"/>
      <c r="C4" t="s">
        <v>44</v>
      </c>
    </row>
    <row r="5" spans="1:14" x14ac:dyDescent="0.25">
      <c r="A5" s="1" t="s">
        <v>8</v>
      </c>
      <c r="B5" s="1"/>
      <c r="C5" t="s">
        <v>9</v>
      </c>
    </row>
    <row r="6" spans="1:14" x14ac:dyDescent="0.25">
      <c r="A6" t="s">
        <v>10</v>
      </c>
      <c r="C6" s="3">
        <v>46575</v>
      </c>
      <c r="D6" s="3"/>
    </row>
    <row r="7" spans="1:14" x14ac:dyDescent="0.25">
      <c r="H7" s="4" t="s">
        <v>15</v>
      </c>
      <c r="I7" s="4">
        <v>60</v>
      </c>
      <c r="J7" s="4" t="s">
        <v>13</v>
      </c>
    </row>
    <row r="8" spans="1:14" x14ac:dyDescent="0.25">
      <c r="H8" s="11"/>
      <c r="I8" s="11"/>
      <c r="J8" s="11"/>
    </row>
    <row r="9" spans="1:14" x14ac:dyDescent="0.25">
      <c r="I9" s="2" t="s">
        <v>18</v>
      </c>
      <c r="K9" t="s">
        <v>17</v>
      </c>
    </row>
    <row r="10" spans="1:14" x14ac:dyDescent="0.25">
      <c r="C10" s="5" t="s">
        <v>11</v>
      </c>
      <c r="D10" s="5"/>
      <c r="E10" s="5" t="s">
        <v>14</v>
      </c>
      <c r="F10" s="5"/>
      <c r="G10" s="4" t="s">
        <v>49</v>
      </c>
      <c r="I10" s="6" t="s">
        <v>11</v>
      </c>
      <c r="J10" s="5" t="s">
        <v>14</v>
      </c>
      <c r="K10" s="5"/>
      <c r="L10" s="5"/>
      <c r="M10" s="6" t="s">
        <v>16</v>
      </c>
      <c r="N10" s="4" t="s">
        <v>49</v>
      </c>
    </row>
    <row r="11" spans="1:14" x14ac:dyDescent="0.25">
      <c r="C11" s="4" t="s">
        <v>12</v>
      </c>
      <c r="D11" s="4" t="s">
        <v>13</v>
      </c>
      <c r="E11" s="4" t="s">
        <v>12</v>
      </c>
      <c r="F11" s="4" t="s">
        <v>13</v>
      </c>
      <c r="G11" s="8" t="s">
        <v>13</v>
      </c>
      <c r="I11" s="9" t="s">
        <v>13</v>
      </c>
      <c r="J11" s="10" t="s">
        <v>13</v>
      </c>
      <c r="K11" s="10"/>
      <c r="L11" s="10"/>
      <c r="M11" s="9" t="s">
        <v>13</v>
      </c>
      <c r="N11" s="8" t="s">
        <v>13</v>
      </c>
    </row>
    <row r="12" spans="1:14" x14ac:dyDescent="0.25">
      <c r="C12" s="4">
        <v>0</v>
      </c>
      <c r="D12" s="7">
        <v>5</v>
      </c>
      <c r="E12" s="4">
        <v>0</v>
      </c>
      <c r="F12" s="4">
        <v>5.05</v>
      </c>
      <c r="G12" s="16">
        <v>0.12</v>
      </c>
      <c r="I12" s="6">
        <v>5</v>
      </c>
      <c r="J12" s="6">
        <f>E12*$I$7</f>
        <v>0</v>
      </c>
      <c r="K12" s="6">
        <f>F12</f>
        <v>5.05</v>
      </c>
      <c r="L12" s="6">
        <f>J12+K12</f>
        <v>5.05</v>
      </c>
      <c r="M12" s="6">
        <f>L12-I12</f>
        <v>4.9999999999999822E-2</v>
      </c>
      <c r="N12" s="16">
        <v>0.12</v>
      </c>
    </row>
    <row r="13" spans="1:14" x14ac:dyDescent="0.25">
      <c r="C13" s="4">
        <v>3</v>
      </c>
      <c r="D13" s="7">
        <v>0</v>
      </c>
      <c r="E13" s="4">
        <v>2</v>
      </c>
      <c r="F13" s="4">
        <v>59.93</v>
      </c>
      <c r="G13" s="17"/>
      <c r="I13" s="6">
        <f>C13*$I$7</f>
        <v>180</v>
      </c>
      <c r="J13" s="6">
        <f>E13*$I$7</f>
        <v>120</v>
      </c>
      <c r="K13" s="6">
        <f>F13</f>
        <v>59.93</v>
      </c>
      <c r="L13" s="6">
        <f>J13+K13</f>
        <v>179.93</v>
      </c>
      <c r="M13" s="6">
        <f>L13-I13</f>
        <v>-6.9999999999993179E-2</v>
      </c>
      <c r="N13" s="17"/>
    </row>
    <row r="14" spans="1:14" x14ac:dyDescent="0.25">
      <c r="C14" s="4">
        <v>5</v>
      </c>
      <c r="D14" s="7">
        <v>0</v>
      </c>
      <c r="E14" s="4">
        <v>4</v>
      </c>
      <c r="F14" s="4">
        <v>59.4</v>
      </c>
      <c r="G14" s="17"/>
      <c r="I14" s="6">
        <f t="shared" ref="I14:I15" si="0">C14*$I$7</f>
        <v>300</v>
      </c>
      <c r="J14" s="6">
        <f t="shared" ref="J14:J16" si="1">E14*$I$7</f>
        <v>240</v>
      </c>
      <c r="K14" s="6">
        <f>F14</f>
        <v>59.4</v>
      </c>
      <c r="L14" s="6">
        <f t="shared" ref="L14:L16" si="2">J14+K14</f>
        <v>299.39999999999998</v>
      </c>
      <c r="M14" s="6">
        <f t="shared" ref="M14:M16" si="3">L14-I14</f>
        <v>-0.60000000000002274</v>
      </c>
      <c r="N14" s="17"/>
    </row>
    <row r="15" spans="1:14" x14ac:dyDescent="0.25">
      <c r="C15" s="4">
        <v>10</v>
      </c>
      <c r="D15" s="7">
        <v>0</v>
      </c>
      <c r="E15" s="4">
        <v>9</v>
      </c>
      <c r="F15" s="4">
        <v>59.95</v>
      </c>
      <c r="G15" s="17"/>
      <c r="I15" s="6">
        <f t="shared" si="0"/>
        <v>600</v>
      </c>
      <c r="J15" s="6">
        <f t="shared" si="1"/>
        <v>540</v>
      </c>
      <c r="K15" s="6">
        <f t="shared" ref="K15:K17" si="4">F15</f>
        <v>59.95</v>
      </c>
      <c r="L15" s="6">
        <f t="shared" si="2"/>
        <v>599.95000000000005</v>
      </c>
      <c r="M15" s="6">
        <f t="shared" si="3"/>
        <v>-4.9999999999954525E-2</v>
      </c>
      <c r="N15" s="17"/>
    </row>
    <row r="16" spans="1:14" x14ac:dyDescent="0.25">
      <c r="C16" s="4">
        <v>20</v>
      </c>
      <c r="D16" s="7">
        <v>0</v>
      </c>
      <c r="E16" s="4">
        <v>19</v>
      </c>
      <c r="F16" s="4">
        <v>59.93</v>
      </c>
      <c r="G16" s="18"/>
      <c r="I16" s="6">
        <f>C16*$I$7</f>
        <v>1200</v>
      </c>
      <c r="J16" s="6">
        <f t="shared" si="1"/>
        <v>1140</v>
      </c>
      <c r="K16" s="6">
        <f t="shared" si="4"/>
        <v>59.93</v>
      </c>
      <c r="L16" s="6">
        <f t="shared" si="2"/>
        <v>1199.93</v>
      </c>
      <c r="M16" s="6">
        <f t="shared" si="3"/>
        <v>-6.9999999999936335E-2</v>
      </c>
      <c r="N16" s="18"/>
    </row>
    <row r="18" spans="3:8" x14ac:dyDescent="0.25">
      <c r="C18" t="s">
        <v>19</v>
      </c>
    </row>
    <row r="19" spans="3:8" ht="15.75" thickBot="1" x14ac:dyDescent="0.3"/>
    <row r="20" spans="3:8" x14ac:dyDescent="0.25">
      <c r="C20" s="15" t="s">
        <v>20</v>
      </c>
      <c r="D20" s="15"/>
    </row>
    <row r="21" spans="3:8" x14ac:dyDescent="0.25">
      <c r="C21" s="12" t="s">
        <v>21</v>
      </c>
      <c r="D21" s="12">
        <v>0.9999998496281497</v>
      </c>
    </row>
    <row r="22" spans="3:8" x14ac:dyDescent="0.25">
      <c r="C22" s="12" t="s">
        <v>22</v>
      </c>
      <c r="D22" s="12">
        <v>0.99999969925632193</v>
      </c>
    </row>
    <row r="23" spans="3:8" x14ac:dyDescent="0.25">
      <c r="C23" s="12" t="s">
        <v>23</v>
      </c>
      <c r="D23" s="12">
        <v>0.99999959900842927</v>
      </c>
    </row>
    <row r="24" spans="3:8" x14ac:dyDescent="0.25">
      <c r="C24" s="12" t="s">
        <v>24</v>
      </c>
      <c r="D24" s="12">
        <v>0.29671889524590273</v>
      </c>
    </row>
    <row r="25" spans="3:8" ht="15.75" thickBot="1" x14ac:dyDescent="0.3">
      <c r="C25" s="13" t="s">
        <v>25</v>
      </c>
      <c r="D25" s="13">
        <v>5</v>
      </c>
    </row>
    <row r="27" spans="3:8" ht="15.75" thickBot="1" x14ac:dyDescent="0.3">
      <c r="C27" t="s">
        <v>26</v>
      </c>
    </row>
    <row r="28" spans="3:8" x14ac:dyDescent="0.25">
      <c r="C28" s="14"/>
      <c r="D28" s="14" t="s">
        <v>31</v>
      </c>
      <c r="E28" s="14" t="s">
        <v>32</v>
      </c>
      <c r="F28" s="14" t="s">
        <v>33</v>
      </c>
      <c r="G28" s="14" t="s">
        <v>34</v>
      </c>
      <c r="H28" s="14" t="s">
        <v>35</v>
      </c>
    </row>
    <row r="29" spans="3:8" x14ac:dyDescent="0.25">
      <c r="C29" s="12" t="s">
        <v>27</v>
      </c>
      <c r="D29" s="12">
        <v>1</v>
      </c>
      <c r="E29" s="12">
        <v>878243.6611536917</v>
      </c>
      <c r="F29" s="12">
        <v>878243.6611536917</v>
      </c>
      <c r="G29" s="12">
        <v>9975269.0276963916</v>
      </c>
      <c r="H29" s="12">
        <v>6.999768280971977E-11</v>
      </c>
    </row>
    <row r="30" spans="3:8" x14ac:dyDescent="0.25">
      <c r="C30" s="12" t="s">
        <v>28</v>
      </c>
      <c r="D30" s="12">
        <v>3</v>
      </c>
      <c r="E30" s="12">
        <v>0.26412630838784695</v>
      </c>
      <c r="F30" s="12">
        <v>8.8042102795948984E-2</v>
      </c>
      <c r="G30" s="12"/>
      <c r="H30" s="12"/>
    </row>
    <row r="31" spans="3:8" ht="15.75" thickBot="1" x14ac:dyDescent="0.3">
      <c r="C31" s="13" t="s">
        <v>29</v>
      </c>
      <c r="D31" s="13">
        <v>4</v>
      </c>
      <c r="E31" s="13">
        <v>878243.92528000008</v>
      </c>
      <c r="F31" s="13"/>
      <c r="G31" s="13"/>
      <c r="H31" s="13"/>
    </row>
    <row r="32" spans="3:8" ht="15.75" thickBot="1" x14ac:dyDescent="0.3"/>
    <row r="33" spans="3:11" x14ac:dyDescent="0.25">
      <c r="C33" s="14"/>
      <c r="D33" s="14" t="s">
        <v>36</v>
      </c>
      <c r="E33" s="14" t="s">
        <v>24</v>
      </c>
      <c r="F33" s="14" t="s">
        <v>37</v>
      </c>
      <c r="G33" s="14" t="s">
        <v>38</v>
      </c>
      <c r="H33" s="14" t="s">
        <v>39</v>
      </c>
      <c r="I33" s="14" t="s">
        <v>40</v>
      </c>
      <c r="J33" s="14" t="s">
        <v>41</v>
      </c>
      <c r="K33" s="14" t="s">
        <v>42</v>
      </c>
    </row>
    <row r="34" spans="3:11" x14ac:dyDescent="0.25">
      <c r="C34" s="12" t="s">
        <v>30</v>
      </c>
      <c r="D34" s="12">
        <v>-0.16456415541227898</v>
      </c>
      <c r="E34" s="12">
        <v>0.19633292323354368</v>
      </c>
      <c r="F34" s="12">
        <v>-0.83818929959355404</v>
      </c>
      <c r="G34" s="12">
        <v>0.4634495435390103</v>
      </c>
      <c r="H34" s="12">
        <v>-0.78938314156242018</v>
      </c>
      <c r="I34" s="12">
        <v>0.46025483073786222</v>
      </c>
      <c r="J34" s="12">
        <v>-0.78938314156242018</v>
      </c>
      <c r="K34" s="12">
        <v>0.46025483073786222</v>
      </c>
    </row>
    <row r="35" spans="3:11" ht="15.75" thickBot="1" x14ac:dyDescent="0.3">
      <c r="C35" s="13" t="s">
        <v>43</v>
      </c>
      <c r="D35" s="13">
        <v>1.0000362454166571</v>
      </c>
      <c r="E35" s="13">
        <v>3.1663099982083304E-4</v>
      </c>
      <c r="F35" s="13">
        <v>3158.3649294684719</v>
      </c>
      <c r="G35" s="13">
        <v>6.9997682809720029E-11</v>
      </c>
      <c r="H35" s="13">
        <v>0.99902858426113905</v>
      </c>
      <c r="I35" s="13">
        <v>1.0010439065721752</v>
      </c>
      <c r="J35" s="13">
        <v>0.99902858426113905</v>
      </c>
      <c r="K35" s="13">
        <v>1.0010439065721752</v>
      </c>
    </row>
  </sheetData>
  <mergeCells count="12">
    <mergeCell ref="C10:D10"/>
    <mergeCell ref="E10:F10"/>
    <mergeCell ref="J10:L10"/>
    <mergeCell ref="J11:L11"/>
    <mergeCell ref="G12:G16"/>
    <mergeCell ref="N12:N16"/>
    <mergeCell ref="A1:B1"/>
    <mergeCell ref="A2:B2"/>
    <mergeCell ref="A3:B3"/>
    <mergeCell ref="A4:B4"/>
    <mergeCell ref="A5:B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ARRAY</vt:lpstr>
      <vt:lpstr>STP-01</vt:lpstr>
      <vt:lpstr>XTP-02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2025-07-23T03:47:33Z</dcterms:created>
  <dcterms:modified xsi:type="dcterms:W3CDTF">2025-07-23T04:14:25Z</dcterms:modified>
</cp:coreProperties>
</file>