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Master CMC\"/>
    </mc:Choice>
  </mc:AlternateContent>
  <xr:revisionPtr revIDLastSave="0" documentId="13_ncr:1_{328C503B-F685-40E8-B36B-251DF1B5807A}" xr6:coauthVersionLast="45" xr6:coauthVersionMax="45" xr10:uidLastSave="{00000000-0000-0000-0000-000000000000}"/>
  <bookViews>
    <workbookView xWindow="-120" yWindow="-120" windowWidth="29040" windowHeight="15840" xr2:uid="{F7795BD4-4F05-4ACD-AE8C-DF77621B9C0B}"/>
  </bookViews>
  <sheets>
    <sheet name="ARRAY" sheetId="6" r:id="rId1"/>
    <sheet name="TH-01" sheetId="2" r:id="rId2"/>
    <sheet name="TH-02" sheetId="3" r:id="rId3"/>
    <sheet name="TH-03" sheetId="4" r:id="rId4"/>
    <sheet name="TH-04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9" i="6" l="1"/>
  <c r="D8" i="6"/>
  <c r="D7" i="6"/>
  <c r="D6" i="6"/>
  <c r="O9" i="6" l="1"/>
  <c r="O8" i="6"/>
  <c r="N9" i="6"/>
  <c r="M9" i="6"/>
  <c r="N8" i="6"/>
  <c r="M8" i="6"/>
  <c r="L9" i="6"/>
  <c r="L8" i="6"/>
  <c r="K9" i="6"/>
  <c r="K8" i="6"/>
  <c r="J9" i="6"/>
  <c r="J8" i="6"/>
  <c r="I9" i="6"/>
  <c r="I8" i="6"/>
  <c r="O7" i="6"/>
  <c r="N7" i="6"/>
  <c r="M7" i="6"/>
  <c r="L7" i="6"/>
  <c r="K7" i="6"/>
  <c r="J7" i="6"/>
  <c r="I7" i="6"/>
  <c r="H9" i="6"/>
  <c r="H8" i="6"/>
  <c r="H7" i="6"/>
  <c r="G9" i="6"/>
  <c r="G8" i="6"/>
  <c r="G7" i="6"/>
  <c r="O6" i="6"/>
  <c r="N6" i="6"/>
  <c r="M6" i="6"/>
  <c r="L6" i="6"/>
  <c r="K6" i="6"/>
  <c r="J6" i="6"/>
  <c r="I6" i="6"/>
  <c r="G6" i="6"/>
  <c r="H6" i="6"/>
  <c r="P18" i="5" l="1"/>
  <c r="E18" i="5"/>
  <c r="P17" i="5"/>
  <c r="E17" i="5"/>
  <c r="P16" i="5"/>
  <c r="E16" i="5"/>
  <c r="P15" i="5"/>
  <c r="E15" i="5"/>
  <c r="P14" i="5"/>
  <c r="E14" i="5"/>
  <c r="P13" i="5"/>
  <c r="E13" i="5"/>
  <c r="P12" i="5"/>
  <c r="E12" i="5"/>
  <c r="P11" i="5"/>
  <c r="E11" i="5"/>
  <c r="P10" i="5"/>
  <c r="E10" i="5"/>
  <c r="P9" i="5"/>
  <c r="E9" i="5"/>
  <c r="P8" i="5"/>
  <c r="E8" i="5"/>
  <c r="P18" i="4"/>
  <c r="E18" i="4"/>
  <c r="P17" i="4"/>
  <c r="E17" i="4"/>
  <c r="P16" i="4"/>
  <c r="E16" i="4"/>
  <c r="P15" i="4"/>
  <c r="E15" i="4"/>
  <c r="P14" i="4"/>
  <c r="E14" i="4"/>
  <c r="P13" i="4"/>
  <c r="E13" i="4"/>
  <c r="P12" i="4"/>
  <c r="E12" i="4"/>
  <c r="P11" i="4"/>
  <c r="E11" i="4"/>
  <c r="P10" i="4"/>
  <c r="E10" i="4"/>
  <c r="P9" i="4"/>
  <c r="E9" i="4"/>
  <c r="P8" i="4"/>
  <c r="E8" i="4"/>
  <c r="P18" i="3"/>
  <c r="P17" i="3"/>
  <c r="P16" i="3"/>
  <c r="P15" i="3"/>
  <c r="P14" i="3"/>
  <c r="P13" i="3"/>
  <c r="P12" i="3"/>
  <c r="P11" i="3"/>
  <c r="P10" i="3"/>
  <c r="P9" i="3"/>
  <c r="P8" i="3"/>
  <c r="N9" i="2"/>
  <c r="N19" i="2"/>
  <c r="N18" i="2"/>
  <c r="N17" i="2"/>
  <c r="N16" i="2"/>
  <c r="N15" i="2"/>
  <c r="N14" i="2"/>
  <c r="N13" i="2"/>
  <c r="N12" i="2"/>
  <c r="N11" i="2"/>
  <c r="N10" i="2"/>
  <c r="E18" i="3"/>
  <c r="E17" i="3"/>
  <c r="E16" i="3"/>
  <c r="E15" i="3"/>
  <c r="E14" i="3"/>
  <c r="E13" i="3"/>
  <c r="E12" i="3"/>
  <c r="E11" i="3"/>
  <c r="E10" i="3"/>
  <c r="E9" i="3"/>
  <c r="E8" i="3"/>
  <c r="E10" i="2" l="1"/>
  <c r="E11" i="2"/>
  <c r="E12" i="2"/>
  <c r="E13" i="2"/>
  <c r="E14" i="2"/>
  <c r="E15" i="2"/>
  <c r="E16" i="2"/>
  <c r="E17" i="2"/>
  <c r="E18" i="2"/>
  <c r="E19" i="2"/>
  <c r="E9" i="2"/>
</calcChain>
</file>

<file path=xl/sharedStrings.xml><?xml version="1.0" encoding="utf-8"?>
<sst xmlns="http://schemas.openxmlformats.org/spreadsheetml/2006/main" count="331" uniqueCount="51">
  <si>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</si>
  <si>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</si>
  <si>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</si>
  <si>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</si>
  <si>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</si>
  <si>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</si>
  <si>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</si>
  <si>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</si>
  <si>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</si>
  <si>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</si>
  <si>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</si>
  <si>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</si>
  <si>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</si>
  <si>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</si>
  <si>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</si>
  <si>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</si>
  <si>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</si>
  <si>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</si>
  <si>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</si>
  <si>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</si>
  <si>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</si>
  <si>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</si>
  <si>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</si>
  <si>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</si>
  <si>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</si>
  <si>
    <t>Nama</t>
  </si>
  <si>
    <t>Merk</t>
  </si>
  <si>
    <t>Tipe</t>
  </si>
  <si>
    <t>No. Seri</t>
  </si>
  <si>
    <t>:</t>
  </si>
  <si>
    <t>Digital thermohygrometer</t>
  </si>
  <si>
    <t>Taffware</t>
  </si>
  <si>
    <t>HTC-1</t>
  </si>
  <si>
    <t>TH-01</t>
  </si>
  <si>
    <t xml:space="preserve">PA </t>
  </si>
  <si>
    <t>Koreksi</t>
  </si>
  <si>
    <t>NS</t>
  </si>
  <si>
    <t>U95</t>
  </si>
  <si>
    <t>Suhu</t>
  </si>
  <si>
    <t>PA : pembacaan alat</t>
  </si>
  <si>
    <t>NS : nilai sebenarnya</t>
  </si>
  <si>
    <t>TH-02</t>
  </si>
  <si>
    <t>Kelembaban</t>
  </si>
  <si>
    <t>TH-03</t>
  </si>
  <si>
    <t>Tgl. Kalibrasi</t>
  </si>
  <si>
    <t>TH-04</t>
  </si>
  <si>
    <t>No</t>
  </si>
  <si>
    <t>Type</t>
  </si>
  <si>
    <t>Regresi Suhu</t>
  </si>
  <si>
    <t>X variabel</t>
  </si>
  <si>
    <t>Regresi Kelembaban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</si>
</sst>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charset val="1"/>
      <scheme val="minor"/>
    </font>
    <font>
      <i/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2" borderId="0" xfId="0" applyFill="1"/>
    <xf numFmtId="0" fontId="0" fillId="2" borderId="0" xfId="0" applyFill="1" applyBorder="1" applyAlignment="1"/>
    <xf numFmtId="0" fontId="0" fillId="2" borderId="1" xfId="0" applyFill="1" applyBorder="1" applyAlignment="1"/>
    <xf numFmtId="164" fontId="0" fillId="0" borderId="3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5" fontId="0" fillId="0" borderId="0" xfId="0" applyNumberFormat="1"/>
    <xf numFmtId="0" fontId="0" fillId="0" borderId="3" xfId="0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1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3566-805C-401A-A3B7-4B0140ED32E1}">
  <dimension ref="D4:O9"/>
  <sheetViews>
    <sheetView tabSelected="1" workbookViewId="0">
      <selection activeCell="F16" sqref="F16"/>
    </sheetView>
  </sheetViews>
  <sheetFormatPr defaultRowHeight="15" x14ac:dyDescent="0.25"/>
  <cols>
    <col min="5" max="5" width="7.140625" customWidth="1"/>
    <col min="6" max="6" width="24" customWidth="1"/>
    <col min="7" max="7" width="10.5703125" customWidth="1"/>
    <col min="9" max="9" width="10.28515625" customWidth="1"/>
    <col min="10" max="10" width="10.7109375" customWidth="1"/>
    <col min="11" max="11" width="9.85546875" customWidth="1"/>
    <col min="12" max="12" width="10.42578125" customWidth="1"/>
    <col min="14" max="14" width="13" customWidth="1"/>
    <col min="15" max="15" width="12.140625" customWidth="1"/>
  </cols>
  <sheetData>
    <row r="4" spans="4:15" x14ac:dyDescent="0.25">
      <c r="D4" s="18" t="s">
        <v>28</v>
      </c>
      <c r="E4" s="18" t="s">
        <v>46</v>
      </c>
      <c r="F4" s="18" t="s">
        <v>25</v>
      </c>
      <c r="G4" s="18" t="s">
        <v>26</v>
      </c>
      <c r="H4" s="18" t="s">
        <v>47</v>
      </c>
      <c r="I4" s="16" t="s">
        <v>48</v>
      </c>
      <c r="J4" s="17"/>
      <c r="K4" s="16" t="s">
        <v>50</v>
      </c>
      <c r="L4" s="17"/>
      <c r="M4" s="16" t="s">
        <v>37</v>
      </c>
      <c r="N4" s="17"/>
      <c r="O4" s="18" t="s">
        <v>44</v>
      </c>
    </row>
    <row r="5" spans="4:15" x14ac:dyDescent="0.25">
      <c r="D5" s="19"/>
      <c r="E5" s="19"/>
      <c r="F5" s="19"/>
      <c r="G5" s="19"/>
      <c r="H5" s="19"/>
      <c r="I5" s="13" t="s">
        <v>11</v>
      </c>
      <c r="J5" s="13" t="s">
        <v>49</v>
      </c>
      <c r="K5" s="13" t="s">
        <v>11</v>
      </c>
      <c r="L5" s="13" t="s">
        <v>49</v>
      </c>
      <c r="M5" s="13" t="s">
        <v>38</v>
      </c>
      <c r="N5" s="13" t="s">
        <v>42</v>
      </c>
      <c r="O5" s="19"/>
    </row>
    <row r="6" spans="4:15" x14ac:dyDescent="0.25">
      <c r="D6" s="6" t="str">
        <f>'TH-01'!C4</f>
        <v>TH-01</v>
      </c>
      <c r="E6" s="13">
        <v>1</v>
      </c>
      <c r="F6" s="13" t="s">
        <v>30</v>
      </c>
      <c r="G6" s="13" t="str">
        <f>'TH-01'!C2</f>
        <v>Taffware</v>
      </c>
      <c r="H6" s="13" t="str">
        <f>'TH-01'!C3</f>
        <v>HTC-1</v>
      </c>
      <c r="I6" s="15">
        <f>'TH-01'!D40</f>
        <v>-0.3531747919143875</v>
      </c>
      <c r="J6" s="15">
        <f>'TH-01'!D41</f>
        <v>1.0389536266349582</v>
      </c>
      <c r="K6" s="15">
        <f>'TH-01'!M37</f>
        <v>-19.598181818181821</v>
      </c>
      <c r="L6" s="15">
        <f>'TH-01'!M38</f>
        <v>1.3814545454545455</v>
      </c>
      <c r="M6" s="13">
        <f>'TH-01'!F9</f>
        <v>0.5</v>
      </c>
      <c r="N6" s="13">
        <f>'TH-01'!O9</f>
        <v>2.7</v>
      </c>
      <c r="O6" s="14">
        <f>'TH-01'!C5</f>
        <v>45799</v>
      </c>
    </row>
    <row r="7" spans="4:15" x14ac:dyDescent="0.25">
      <c r="D7" s="6" t="str">
        <f>'TH-02'!C4</f>
        <v>TH-02</v>
      </c>
      <c r="E7" s="13">
        <v>2</v>
      </c>
      <c r="F7" s="13" t="s">
        <v>30</v>
      </c>
      <c r="G7" s="13" t="str">
        <f>'TH-02'!C2</f>
        <v>Taffware</v>
      </c>
      <c r="H7" s="13" t="str">
        <f>'TH-02'!C3</f>
        <v>HTC-1</v>
      </c>
      <c r="I7" s="15">
        <f>'TH-02'!D39</f>
        <v>-3.6218787158141197E-2</v>
      </c>
      <c r="J7" s="15">
        <f>'TH-02'!D40</f>
        <v>1.0230439952437573</v>
      </c>
      <c r="K7" s="15">
        <f>'TH-02'!O35</f>
        <v>-20.981818181818163</v>
      </c>
      <c r="L7" s="15">
        <f>'TH-02'!O36</f>
        <v>1.3290909090909087</v>
      </c>
      <c r="M7" s="13">
        <f>'TH-02'!F8</f>
        <v>0.5</v>
      </c>
      <c r="N7" s="13">
        <f>'TH-02'!Q8</f>
        <v>3.1</v>
      </c>
      <c r="O7" s="14">
        <f>'TH-02'!C5</f>
        <v>45799</v>
      </c>
    </row>
    <row r="8" spans="4:15" x14ac:dyDescent="0.25">
      <c r="D8" s="6" t="str">
        <f>'TH-03'!C4</f>
        <v>TH-03</v>
      </c>
      <c r="E8" s="13">
        <v>3</v>
      </c>
      <c r="F8" s="13" t="s">
        <v>30</v>
      </c>
      <c r="G8" s="13" t="str">
        <f>'TH-03'!C2</f>
        <v>Taffware</v>
      </c>
      <c r="H8" s="13" t="str">
        <f>'TH-03'!C3</f>
        <v>HTC-1</v>
      </c>
      <c r="I8" s="15">
        <f>'TH-03'!D39</f>
        <v>-0.40318668252080059</v>
      </c>
      <c r="J8" s="15">
        <f>'TH-03'!D40</f>
        <v>1.0430321046373363</v>
      </c>
      <c r="K8" s="15">
        <f>'TH-03'!O36</f>
        <v>-19.666363636363634</v>
      </c>
      <c r="L8" s="15">
        <f>'TH-03'!O37</f>
        <v>1.3078181818181818</v>
      </c>
      <c r="M8" s="13">
        <f>'TH-03'!F8:F18</f>
        <v>0.5</v>
      </c>
      <c r="N8" s="13">
        <f>'TH-03'!Q8:Q18</f>
        <v>2.7</v>
      </c>
      <c r="O8" s="14">
        <f>'TH-03'!C5</f>
        <v>45799</v>
      </c>
    </row>
    <row r="9" spans="4:15" x14ac:dyDescent="0.25">
      <c r="D9" s="6" t="str">
        <f>'TH-04'!C4</f>
        <v>TH-04</v>
      </c>
      <c r="E9" s="13">
        <v>4</v>
      </c>
      <c r="F9" s="13" t="s">
        <v>30</v>
      </c>
      <c r="G9" s="13" t="str">
        <f>'TH-04'!C2</f>
        <v>Taffware</v>
      </c>
      <c r="H9" s="13" t="str">
        <f>'TH-04'!C3</f>
        <v>HTC-1</v>
      </c>
      <c r="I9" s="15">
        <f>'TH-04'!D39</f>
        <v>0.19985731272295126</v>
      </c>
      <c r="J9" s="15">
        <f>'TH-04'!D40</f>
        <v>0.99894173602853731</v>
      </c>
      <c r="K9" s="15">
        <f>'TH-04'!O36</f>
        <v>-20.049999999999997</v>
      </c>
      <c r="L9" s="15">
        <f>'TH-04'!O37</f>
        <v>1.3190909090909091</v>
      </c>
      <c r="M9" s="13">
        <f>'TH-04'!F8</f>
        <v>0.6</v>
      </c>
      <c r="N9" s="13">
        <f>'TH-04'!Q8</f>
        <v>2.9</v>
      </c>
      <c r="O9" s="14">
        <f>'TH-04'!C5</f>
        <v>45799</v>
      </c>
    </row>
  </sheetData>
  <mergeCells count="9">
    <mergeCell ref="D4:D5"/>
    <mergeCell ref="K4:L4"/>
    <mergeCell ref="M4:N4"/>
    <mergeCell ref="O4:O5"/>
    <mergeCell ref="E4:E5"/>
    <mergeCell ref="F4:F5"/>
    <mergeCell ref="G4:G5"/>
    <mergeCell ref="H4:H5"/>
    <mergeCell ref="I4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09C44-57D0-4327-96D2-718DF04F7DFB}">
  <dimension ref="A1:T41"/>
  <sheetViews>
    <sheetView workbookViewId="0">
      <selection activeCell="H9" sqref="H9"/>
    </sheetView>
  </sheetViews>
  <sheetFormatPr defaultRowHeight="15" x14ac:dyDescent="0.25"/>
  <cols>
    <col min="1" max="1" width="13.85546875" customWidth="1"/>
    <col min="2" max="2" width="6.42578125" customWidth="1"/>
    <col min="3" max="3" width="9.85546875" bestFit="1" customWidth="1"/>
    <col min="4" max="4" width="11" customWidth="1"/>
  </cols>
  <sheetData>
    <row r="1" spans="1:15" x14ac:dyDescent="0.25">
      <c r="A1" t="s">
        <v>25</v>
      </c>
      <c r="B1" s="5" t="s">
        <v>29</v>
      </c>
      <c r="C1" t="s">
        <v>30</v>
      </c>
    </row>
    <row r="2" spans="1:15" x14ac:dyDescent="0.25">
      <c r="A2" t="s">
        <v>26</v>
      </c>
      <c r="B2" s="5" t="s">
        <v>29</v>
      </c>
      <c r="C2" t="s">
        <v>31</v>
      </c>
    </row>
    <row r="3" spans="1:15" x14ac:dyDescent="0.25">
      <c r="A3" t="s">
        <v>27</v>
      </c>
      <c r="B3" s="5" t="s">
        <v>29</v>
      </c>
      <c r="C3" t="s">
        <v>32</v>
      </c>
    </row>
    <row r="4" spans="1:15" x14ac:dyDescent="0.25">
      <c r="A4" t="s">
        <v>28</v>
      </c>
      <c r="B4" s="5" t="s">
        <v>29</v>
      </c>
      <c r="C4" t="s">
        <v>33</v>
      </c>
    </row>
    <row r="5" spans="1:15" x14ac:dyDescent="0.25">
      <c r="A5" t="s">
        <v>44</v>
      </c>
      <c r="B5" s="5" t="s">
        <v>29</v>
      </c>
      <c r="C5" s="12">
        <v>45799</v>
      </c>
    </row>
    <row r="6" spans="1:15" x14ac:dyDescent="0.25">
      <c r="B6" s="5"/>
      <c r="C6" s="12"/>
    </row>
    <row r="7" spans="1:15" x14ac:dyDescent="0.25">
      <c r="C7" s="21" t="s">
        <v>38</v>
      </c>
      <c r="D7" s="21"/>
      <c r="E7" s="21"/>
      <c r="F7" s="21"/>
      <c r="L7" s="21" t="s">
        <v>42</v>
      </c>
      <c r="M7" s="21"/>
      <c r="N7" s="21"/>
      <c r="O7" s="21"/>
    </row>
    <row r="8" spans="1:15" x14ac:dyDescent="0.25">
      <c r="C8" s="6" t="s">
        <v>34</v>
      </c>
      <c r="D8" s="6" t="s">
        <v>35</v>
      </c>
      <c r="E8" s="6" t="s">
        <v>36</v>
      </c>
      <c r="F8" s="6" t="s">
        <v>37</v>
      </c>
      <c r="L8" s="6" t="s">
        <v>34</v>
      </c>
      <c r="M8" s="6" t="s">
        <v>35</v>
      </c>
      <c r="N8" s="6" t="s">
        <v>36</v>
      </c>
      <c r="O8" s="6" t="s">
        <v>37</v>
      </c>
    </row>
    <row r="9" spans="1:15" x14ac:dyDescent="0.25">
      <c r="C9" s="10">
        <v>10</v>
      </c>
      <c r="D9" s="6">
        <v>0.4</v>
      </c>
      <c r="E9" s="6">
        <f>C9+D9</f>
        <v>10.4</v>
      </c>
      <c r="F9" s="18">
        <v>0.5</v>
      </c>
      <c r="L9" s="11">
        <v>30</v>
      </c>
      <c r="M9" s="6">
        <v>-9.4</v>
      </c>
      <c r="N9" s="11">
        <f>L9+M9</f>
        <v>20.6</v>
      </c>
      <c r="O9" s="18">
        <v>2.7</v>
      </c>
    </row>
    <row r="10" spans="1:15" x14ac:dyDescent="0.25">
      <c r="C10" s="10">
        <v>15</v>
      </c>
      <c r="D10" s="6">
        <v>0.3</v>
      </c>
      <c r="E10" s="6">
        <f t="shared" ref="E10:E19" si="0">C10+D10</f>
        <v>15.3</v>
      </c>
      <c r="F10" s="20"/>
      <c r="L10" s="11">
        <v>35</v>
      </c>
      <c r="M10" s="6">
        <v>-6.7</v>
      </c>
      <c r="N10" s="6">
        <f t="shared" ref="N10:N19" si="1">L10+M10</f>
        <v>28.3</v>
      </c>
      <c r="O10" s="20"/>
    </row>
    <row r="11" spans="1:15" x14ac:dyDescent="0.25">
      <c r="C11" s="10">
        <v>20</v>
      </c>
      <c r="D11" s="6">
        <v>0.3</v>
      </c>
      <c r="E11" s="6">
        <f t="shared" si="0"/>
        <v>20.3</v>
      </c>
      <c r="F11" s="20"/>
      <c r="L11" s="11">
        <v>40</v>
      </c>
      <c r="M11" s="6">
        <v>-4.3</v>
      </c>
      <c r="N11" s="6">
        <f t="shared" si="1"/>
        <v>35.700000000000003</v>
      </c>
      <c r="O11" s="20"/>
    </row>
    <row r="12" spans="1:15" x14ac:dyDescent="0.25">
      <c r="C12" s="10">
        <v>22</v>
      </c>
      <c r="D12" s="6">
        <v>0.4</v>
      </c>
      <c r="E12" s="6">
        <f t="shared" si="0"/>
        <v>22.4</v>
      </c>
      <c r="F12" s="20"/>
      <c r="L12" s="11">
        <v>45</v>
      </c>
      <c r="M12" s="6">
        <v>-1.9</v>
      </c>
      <c r="N12" s="6">
        <f t="shared" si="1"/>
        <v>43.1</v>
      </c>
      <c r="O12" s="20"/>
    </row>
    <row r="13" spans="1:15" x14ac:dyDescent="0.25">
      <c r="C13" s="10">
        <v>24</v>
      </c>
      <c r="D13" s="6">
        <v>0.4</v>
      </c>
      <c r="E13" s="6">
        <f t="shared" si="0"/>
        <v>24.4</v>
      </c>
      <c r="F13" s="20"/>
      <c r="L13" s="11">
        <v>50</v>
      </c>
      <c r="M13" s="6">
        <v>0.2</v>
      </c>
      <c r="N13" s="6">
        <f t="shared" si="1"/>
        <v>50.2</v>
      </c>
      <c r="O13" s="20"/>
    </row>
    <row r="14" spans="1:15" x14ac:dyDescent="0.25">
      <c r="C14" s="10">
        <v>26</v>
      </c>
      <c r="D14" s="6">
        <v>0.5</v>
      </c>
      <c r="E14" s="6">
        <f t="shared" si="0"/>
        <v>26.5</v>
      </c>
      <c r="F14" s="20"/>
      <c r="L14" s="11">
        <v>55</v>
      </c>
      <c r="M14" s="6">
        <v>2.2000000000000002</v>
      </c>
      <c r="N14" s="6">
        <f t="shared" si="1"/>
        <v>57.2</v>
      </c>
      <c r="O14" s="20"/>
    </row>
    <row r="15" spans="1:15" x14ac:dyDescent="0.25">
      <c r="C15" s="10">
        <v>28</v>
      </c>
      <c r="D15" s="6">
        <v>0.6</v>
      </c>
      <c r="E15" s="6">
        <f t="shared" si="0"/>
        <v>28.6</v>
      </c>
      <c r="F15" s="20"/>
      <c r="L15" s="11">
        <v>60</v>
      </c>
      <c r="M15" s="6">
        <v>4</v>
      </c>
      <c r="N15" s="6">
        <f t="shared" si="1"/>
        <v>64</v>
      </c>
      <c r="O15" s="20"/>
    </row>
    <row r="16" spans="1:15" x14ac:dyDescent="0.25">
      <c r="C16" s="10">
        <v>30</v>
      </c>
      <c r="D16" s="6">
        <v>0.7</v>
      </c>
      <c r="E16" s="6">
        <f t="shared" si="0"/>
        <v>30.7</v>
      </c>
      <c r="F16" s="20"/>
      <c r="L16" s="11">
        <v>65</v>
      </c>
      <c r="M16" s="6">
        <v>5.7</v>
      </c>
      <c r="N16" s="6">
        <f t="shared" si="1"/>
        <v>70.7</v>
      </c>
      <c r="O16" s="20"/>
    </row>
    <row r="17" spans="3:17" x14ac:dyDescent="0.25">
      <c r="C17" s="10">
        <v>32</v>
      </c>
      <c r="D17" s="6">
        <v>0.8</v>
      </c>
      <c r="E17" s="6">
        <f t="shared" si="0"/>
        <v>32.799999999999997</v>
      </c>
      <c r="F17" s="20"/>
      <c r="L17" s="11">
        <v>70</v>
      </c>
      <c r="M17" s="6">
        <v>7.2</v>
      </c>
      <c r="N17" s="6">
        <f t="shared" si="1"/>
        <v>77.2</v>
      </c>
      <c r="O17" s="20"/>
    </row>
    <row r="18" spans="3:17" x14ac:dyDescent="0.25">
      <c r="C18" s="10">
        <v>35</v>
      </c>
      <c r="D18" s="6">
        <v>1.1000000000000001</v>
      </c>
      <c r="E18" s="6">
        <f t="shared" si="0"/>
        <v>36.1</v>
      </c>
      <c r="F18" s="20"/>
      <c r="L18" s="11">
        <v>75</v>
      </c>
      <c r="M18" s="6">
        <v>8.5</v>
      </c>
      <c r="N18" s="6">
        <f t="shared" si="1"/>
        <v>83.5</v>
      </c>
      <c r="O18" s="20"/>
    </row>
    <row r="19" spans="3:17" x14ac:dyDescent="0.25">
      <c r="C19" s="10">
        <v>40</v>
      </c>
      <c r="D19" s="6">
        <v>1.6</v>
      </c>
      <c r="E19" s="6">
        <f t="shared" si="0"/>
        <v>41.6</v>
      </c>
      <c r="F19" s="19"/>
      <c r="L19" s="11">
        <v>80</v>
      </c>
      <c r="M19" s="6">
        <v>9.6999999999999993</v>
      </c>
      <c r="N19" s="6">
        <f t="shared" si="1"/>
        <v>89.7</v>
      </c>
      <c r="O19" s="19"/>
    </row>
    <row r="21" spans="3:17" x14ac:dyDescent="0.25">
      <c r="C21" s="7" t="s">
        <v>39</v>
      </c>
      <c r="D21" s="7"/>
      <c r="L21" t="s">
        <v>0</v>
      </c>
    </row>
    <row r="22" spans="3:17" ht="15.75" thickBot="1" x14ac:dyDescent="0.3">
      <c r="C22" s="7" t="s">
        <v>40</v>
      </c>
      <c r="D22" s="7"/>
    </row>
    <row r="23" spans="3:17" x14ac:dyDescent="0.25">
      <c r="L23" s="4" t="s">
        <v>1</v>
      </c>
      <c r="M23" s="4"/>
    </row>
    <row r="24" spans="3:17" x14ac:dyDescent="0.25">
      <c r="C24" t="s">
        <v>0</v>
      </c>
      <c r="L24" s="1" t="s">
        <v>2</v>
      </c>
      <c r="M24" s="1">
        <v>0.99945258533345438</v>
      </c>
    </row>
    <row r="25" spans="3:17" ht="15.75" thickBot="1" x14ac:dyDescent="0.3">
      <c r="L25" s="1" t="s">
        <v>3</v>
      </c>
      <c r="M25" s="1">
        <v>0.99890547032972588</v>
      </c>
    </row>
    <row r="26" spans="3:17" x14ac:dyDescent="0.25">
      <c r="C26" s="4" t="s">
        <v>1</v>
      </c>
      <c r="D26" s="4"/>
      <c r="L26" s="1" t="s">
        <v>4</v>
      </c>
      <c r="M26" s="1">
        <v>0.99878385592191754</v>
      </c>
    </row>
    <row r="27" spans="3:17" x14ac:dyDescent="0.25">
      <c r="C27" s="1" t="s">
        <v>2</v>
      </c>
      <c r="D27" s="1">
        <v>0.99974129826582614</v>
      </c>
      <c r="L27" s="1" t="s">
        <v>5</v>
      </c>
      <c r="M27" s="1">
        <v>0.79934316469805267</v>
      </c>
    </row>
    <row r="28" spans="3:17" ht="15.75" thickBot="1" x14ac:dyDescent="0.3">
      <c r="C28" s="1" t="s">
        <v>3</v>
      </c>
      <c r="D28" s="1">
        <v>0.99948266345823944</v>
      </c>
      <c r="L28" s="2" t="s">
        <v>6</v>
      </c>
      <c r="M28" s="2">
        <v>11</v>
      </c>
    </row>
    <row r="29" spans="3:17" x14ac:dyDescent="0.25">
      <c r="C29" s="1" t="s">
        <v>4</v>
      </c>
      <c r="D29" s="1">
        <v>0.99942518162026617</v>
      </c>
    </row>
    <row r="30" spans="3:17" ht="15.75" thickBot="1" x14ac:dyDescent="0.3">
      <c r="C30" s="1" t="s">
        <v>5</v>
      </c>
      <c r="D30" s="1">
        <v>0.21785900162668353</v>
      </c>
      <c r="L30" t="s">
        <v>7</v>
      </c>
    </row>
    <row r="31" spans="3:17" ht="15.75" thickBot="1" x14ac:dyDescent="0.3">
      <c r="C31" s="2" t="s">
        <v>6</v>
      </c>
      <c r="D31" s="2">
        <v>11</v>
      </c>
      <c r="L31" s="3"/>
      <c r="M31" s="3" t="s">
        <v>12</v>
      </c>
      <c r="N31" s="3" t="s">
        <v>13</v>
      </c>
      <c r="O31" s="3" t="s">
        <v>14</v>
      </c>
      <c r="P31" s="3" t="s">
        <v>15</v>
      </c>
      <c r="Q31" s="3" t="s">
        <v>16</v>
      </c>
    </row>
    <row r="32" spans="3:17" x14ac:dyDescent="0.25">
      <c r="L32" s="1" t="s">
        <v>8</v>
      </c>
      <c r="M32" s="1">
        <v>1</v>
      </c>
      <c r="N32" s="1">
        <v>5248.145818181818</v>
      </c>
      <c r="O32" s="1">
        <v>5248.145818181818</v>
      </c>
      <c r="P32" s="1">
        <v>8213.7099405589561</v>
      </c>
      <c r="Q32" s="1">
        <v>1.2288475721105398E-14</v>
      </c>
    </row>
    <row r="33" spans="3:20" ht="15.75" thickBot="1" x14ac:dyDescent="0.3">
      <c r="C33" t="s">
        <v>7</v>
      </c>
      <c r="L33" s="1" t="s">
        <v>9</v>
      </c>
      <c r="M33" s="1">
        <v>9</v>
      </c>
      <c r="N33" s="1">
        <v>5.7505454545454837</v>
      </c>
      <c r="O33" s="1">
        <v>0.63894949494949815</v>
      </c>
      <c r="P33" s="1"/>
      <c r="Q33" s="1"/>
    </row>
    <row r="34" spans="3:20" ht="15.75" thickBot="1" x14ac:dyDescent="0.3">
      <c r="C34" s="3"/>
      <c r="D34" s="3" t="s">
        <v>12</v>
      </c>
      <c r="E34" s="3" t="s">
        <v>13</v>
      </c>
      <c r="F34" s="3" t="s">
        <v>14</v>
      </c>
      <c r="G34" s="3" t="s">
        <v>15</v>
      </c>
      <c r="H34" s="3" t="s">
        <v>16</v>
      </c>
      <c r="L34" s="2" t="s">
        <v>10</v>
      </c>
      <c r="M34" s="2">
        <v>10</v>
      </c>
      <c r="N34" s="2">
        <v>5253.8963636363633</v>
      </c>
      <c r="O34" s="2"/>
      <c r="P34" s="2"/>
      <c r="Q34" s="2"/>
    </row>
    <row r="35" spans="3:20" ht="15.75" thickBot="1" x14ac:dyDescent="0.3">
      <c r="C35" s="1" t="s">
        <v>8</v>
      </c>
      <c r="D35" s="1">
        <v>1</v>
      </c>
      <c r="E35" s="1">
        <v>825.26920073505573</v>
      </c>
      <c r="F35" s="1">
        <v>825.26920073505573</v>
      </c>
      <c r="G35" s="1">
        <v>17387.799324034575</v>
      </c>
      <c r="H35" s="1">
        <v>4.2155153270581779E-16</v>
      </c>
    </row>
    <row r="36" spans="3:20" x14ac:dyDescent="0.25">
      <c r="C36" s="1" t="s">
        <v>9</v>
      </c>
      <c r="D36" s="1">
        <v>9</v>
      </c>
      <c r="E36" s="1">
        <v>0.42716290130797763</v>
      </c>
      <c r="F36" s="1">
        <v>4.7462544589775293E-2</v>
      </c>
      <c r="G36" s="1"/>
      <c r="H36" s="1"/>
      <c r="L36" s="3"/>
      <c r="M36" s="3" t="s">
        <v>17</v>
      </c>
      <c r="N36" s="3" t="s">
        <v>5</v>
      </c>
      <c r="O36" s="3" t="s">
        <v>18</v>
      </c>
      <c r="P36" s="3" t="s">
        <v>19</v>
      </c>
      <c r="Q36" s="3" t="s">
        <v>20</v>
      </c>
      <c r="R36" s="3" t="s">
        <v>21</v>
      </c>
      <c r="S36" s="3" t="s">
        <v>22</v>
      </c>
      <c r="T36" s="3" t="s">
        <v>23</v>
      </c>
    </row>
    <row r="37" spans="3:20" ht="15.75" thickBot="1" x14ac:dyDescent="0.3">
      <c r="C37" s="2" t="s">
        <v>10</v>
      </c>
      <c r="D37" s="2">
        <v>10</v>
      </c>
      <c r="E37" s="2">
        <v>825.69636363636369</v>
      </c>
      <c r="F37" s="2"/>
      <c r="G37" s="2"/>
      <c r="H37" s="2"/>
      <c r="L37" s="1" t="s">
        <v>11</v>
      </c>
      <c r="M37" s="8">
        <v>-19.598181818181821</v>
      </c>
      <c r="N37" s="1">
        <v>0.87231345407893923</v>
      </c>
      <c r="O37" s="1">
        <v>-22.466903068547996</v>
      </c>
      <c r="P37" s="1">
        <v>3.2477228343858638E-9</v>
      </c>
      <c r="Q37" s="1">
        <v>-21.571491946531737</v>
      </c>
      <c r="R37" s="1">
        <v>-17.624871689831906</v>
      </c>
      <c r="S37" s="1">
        <v>-21.571491946531737</v>
      </c>
      <c r="T37" s="1">
        <v>-17.624871689831906</v>
      </c>
    </row>
    <row r="38" spans="3:20" ht="15.75" thickBot="1" x14ac:dyDescent="0.3">
      <c r="L38" s="2" t="s">
        <v>24</v>
      </c>
      <c r="M38" s="9">
        <v>1.3814545454545455</v>
      </c>
      <c r="N38" s="2">
        <v>1.5242876070175423E-2</v>
      </c>
      <c r="O38" s="2">
        <v>90.629520248972739</v>
      </c>
      <c r="P38" s="2">
        <v>1.2288475721105354E-14</v>
      </c>
      <c r="Q38" s="2">
        <v>1.3469727641707527</v>
      </c>
      <c r="R38" s="2">
        <v>1.4159363267383382</v>
      </c>
      <c r="S38" s="2">
        <v>1.3469727641707527</v>
      </c>
      <c r="T38" s="2">
        <v>1.4159363267383382</v>
      </c>
    </row>
    <row r="39" spans="3:20" x14ac:dyDescent="0.25">
      <c r="C39" s="3"/>
      <c r="D39" s="3" t="s">
        <v>17</v>
      </c>
      <c r="E39" s="3" t="s">
        <v>5</v>
      </c>
      <c r="F39" s="3" t="s">
        <v>18</v>
      </c>
      <c r="G39" s="3" t="s">
        <v>19</v>
      </c>
      <c r="H39" s="3" t="s">
        <v>20</v>
      </c>
      <c r="I39" s="3" t="s">
        <v>21</v>
      </c>
      <c r="J39" s="3" t="s">
        <v>22</v>
      </c>
      <c r="K39" s="3" t="s">
        <v>23</v>
      </c>
    </row>
    <row r="40" spans="3:20" x14ac:dyDescent="0.25">
      <c r="C40" s="1" t="s">
        <v>11</v>
      </c>
      <c r="D40" s="8">
        <v>-0.3531747919143875</v>
      </c>
      <c r="E40" s="1">
        <v>0.21240247995249936</v>
      </c>
      <c r="F40" s="1">
        <v>-1.6627620920121542</v>
      </c>
      <c r="G40" s="1">
        <v>0.13072258557580288</v>
      </c>
      <c r="H40" s="1">
        <v>-0.83366258333503618</v>
      </c>
      <c r="I40" s="1">
        <v>0.12731299950626113</v>
      </c>
      <c r="J40" s="1">
        <v>-0.83366258333503618</v>
      </c>
      <c r="K40" s="1">
        <v>0.12731299950626113</v>
      </c>
    </row>
    <row r="41" spans="3:20" ht="15.75" thickBot="1" x14ac:dyDescent="0.3">
      <c r="C41" s="2" t="s">
        <v>24</v>
      </c>
      <c r="D41" s="9">
        <v>1.0389536266349582</v>
      </c>
      <c r="E41" s="2">
        <v>7.8790499503303829E-3</v>
      </c>
      <c r="F41" s="2">
        <v>131.86280493010366</v>
      </c>
      <c r="G41" s="2">
        <v>4.2155153270581779E-16</v>
      </c>
      <c r="H41" s="2">
        <v>1.0211299773537734</v>
      </c>
      <c r="I41" s="2">
        <v>1.0567772759161429</v>
      </c>
      <c r="J41" s="2">
        <v>1.0211299773537734</v>
      </c>
      <c r="K41" s="2">
        <v>1.0567772759161429</v>
      </c>
    </row>
  </sheetData>
  <mergeCells count="4">
    <mergeCell ref="F9:F19"/>
    <mergeCell ref="C7:F7"/>
    <mergeCell ref="O9:O19"/>
    <mergeCell ref="L7:O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1BE37-E37B-41BE-99DB-E2890D212FF9}">
  <dimension ref="A1:V40"/>
  <sheetViews>
    <sheetView workbookViewId="0">
      <selection activeCell="J15" sqref="J15"/>
    </sheetView>
  </sheetViews>
  <sheetFormatPr defaultRowHeight="15" x14ac:dyDescent="0.25"/>
  <sheetData>
    <row r="1" spans="1:17" x14ac:dyDescent="0.25">
      <c r="A1" t="s">
        <v>25</v>
      </c>
      <c r="B1" s="5" t="s">
        <v>29</v>
      </c>
      <c r="C1" t="s">
        <v>30</v>
      </c>
    </row>
    <row r="2" spans="1:17" x14ac:dyDescent="0.25">
      <c r="A2" t="s">
        <v>26</v>
      </c>
      <c r="B2" s="5" t="s">
        <v>29</v>
      </c>
      <c r="C2" t="s">
        <v>31</v>
      </c>
    </row>
    <row r="3" spans="1:17" x14ac:dyDescent="0.25">
      <c r="A3" t="s">
        <v>27</v>
      </c>
      <c r="B3" s="5" t="s">
        <v>29</v>
      </c>
      <c r="C3" t="s">
        <v>32</v>
      </c>
    </row>
    <row r="4" spans="1:17" x14ac:dyDescent="0.25">
      <c r="A4" t="s">
        <v>28</v>
      </c>
      <c r="B4" s="5" t="s">
        <v>29</v>
      </c>
      <c r="C4" t="s">
        <v>41</v>
      </c>
    </row>
    <row r="5" spans="1:17" x14ac:dyDescent="0.25">
      <c r="A5" t="s">
        <v>44</v>
      </c>
      <c r="B5" s="5" t="s">
        <v>29</v>
      </c>
      <c r="C5" s="22">
        <v>45799</v>
      </c>
      <c r="D5" s="22"/>
    </row>
    <row r="6" spans="1:17" x14ac:dyDescent="0.25">
      <c r="C6" s="21" t="s">
        <v>38</v>
      </c>
      <c r="D6" s="21"/>
      <c r="E6" s="21"/>
      <c r="F6" s="21"/>
      <c r="N6" s="21" t="s">
        <v>42</v>
      </c>
      <c r="O6" s="21"/>
      <c r="P6" s="21"/>
      <c r="Q6" s="21"/>
    </row>
    <row r="7" spans="1:17" x14ac:dyDescent="0.25">
      <c r="C7" s="6" t="s">
        <v>34</v>
      </c>
      <c r="D7" s="6" t="s">
        <v>35</v>
      </c>
      <c r="E7" s="6" t="s">
        <v>36</v>
      </c>
      <c r="F7" s="6" t="s">
        <v>37</v>
      </c>
      <c r="N7" s="6" t="s">
        <v>34</v>
      </c>
      <c r="O7" s="6" t="s">
        <v>35</v>
      </c>
      <c r="P7" s="6" t="s">
        <v>36</v>
      </c>
      <c r="Q7" s="6" t="s">
        <v>37</v>
      </c>
    </row>
    <row r="8" spans="1:17" x14ac:dyDescent="0.25">
      <c r="C8" s="10">
        <v>10</v>
      </c>
      <c r="D8" s="6">
        <v>0.5</v>
      </c>
      <c r="E8" s="6">
        <f>C8+D8</f>
        <v>10.5</v>
      </c>
      <c r="F8" s="18">
        <v>0.5</v>
      </c>
      <c r="N8" s="11">
        <v>30</v>
      </c>
      <c r="O8" s="6">
        <v>-9.8000000000000007</v>
      </c>
      <c r="P8" s="11">
        <f>N8+O8</f>
        <v>20.2</v>
      </c>
      <c r="Q8" s="18">
        <v>3.1</v>
      </c>
    </row>
    <row r="9" spans="1:17" x14ac:dyDescent="0.25">
      <c r="C9" s="10">
        <v>15</v>
      </c>
      <c r="D9" s="6">
        <v>0.4</v>
      </c>
      <c r="E9" s="6">
        <f t="shared" ref="E9:E18" si="0">C9+D9</f>
        <v>15.4</v>
      </c>
      <c r="F9" s="20"/>
      <c r="N9" s="11">
        <v>35</v>
      </c>
      <c r="O9" s="6">
        <v>-9</v>
      </c>
      <c r="P9" s="6">
        <f t="shared" ref="P9:P18" si="1">N9+O9</f>
        <v>26</v>
      </c>
      <c r="Q9" s="20"/>
    </row>
    <row r="10" spans="1:17" x14ac:dyDescent="0.25">
      <c r="C10" s="10">
        <v>20</v>
      </c>
      <c r="D10" s="6">
        <v>0.3</v>
      </c>
      <c r="E10" s="6">
        <f t="shared" si="0"/>
        <v>20.3</v>
      </c>
      <c r="F10" s="20"/>
      <c r="N10" s="11">
        <v>40</v>
      </c>
      <c r="O10" s="6">
        <v>-7.9</v>
      </c>
      <c r="P10" s="6">
        <f t="shared" si="1"/>
        <v>32.1</v>
      </c>
      <c r="Q10" s="20"/>
    </row>
    <row r="11" spans="1:17" x14ac:dyDescent="0.25">
      <c r="C11" s="10">
        <v>22</v>
      </c>
      <c r="D11" s="6">
        <v>0.3</v>
      </c>
      <c r="E11" s="6">
        <f t="shared" si="0"/>
        <v>22.3</v>
      </c>
      <c r="F11" s="20"/>
      <c r="N11" s="11">
        <v>45</v>
      </c>
      <c r="O11" s="6">
        <v>-6.7</v>
      </c>
      <c r="P11" s="6">
        <f t="shared" si="1"/>
        <v>38.299999999999997</v>
      </c>
      <c r="Q11" s="20"/>
    </row>
    <row r="12" spans="1:17" x14ac:dyDescent="0.25">
      <c r="C12" s="10">
        <v>24</v>
      </c>
      <c r="D12" s="6">
        <v>0.4</v>
      </c>
      <c r="E12" s="6">
        <f t="shared" si="0"/>
        <v>24.4</v>
      </c>
      <c r="F12" s="20"/>
      <c r="N12" s="11">
        <v>50</v>
      </c>
      <c r="O12" s="6">
        <v>-5.3</v>
      </c>
      <c r="P12" s="6">
        <f t="shared" si="1"/>
        <v>44.7</v>
      </c>
      <c r="Q12" s="20"/>
    </row>
    <row r="13" spans="1:17" x14ac:dyDescent="0.25">
      <c r="C13" s="10">
        <v>26</v>
      </c>
      <c r="D13" s="6">
        <v>0.4</v>
      </c>
      <c r="E13" s="6">
        <f t="shared" si="0"/>
        <v>26.4</v>
      </c>
      <c r="F13" s="20"/>
      <c r="N13" s="11">
        <v>55</v>
      </c>
      <c r="O13" s="6">
        <v>-3.7</v>
      </c>
      <c r="P13" s="6">
        <f t="shared" si="1"/>
        <v>51.3</v>
      </c>
      <c r="Q13" s="20"/>
    </row>
    <row r="14" spans="1:17" x14ac:dyDescent="0.25">
      <c r="C14" s="10">
        <v>28</v>
      </c>
      <c r="D14" s="6">
        <v>0.5</v>
      </c>
      <c r="E14" s="6">
        <f t="shared" si="0"/>
        <v>28.5</v>
      </c>
      <c r="F14" s="20"/>
      <c r="N14" s="11">
        <v>60</v>
      </c>
      <c r="O14" s="6">
        <v>-2</v>
      </c>
      <c r="P14" s="6">
        <f t="shared" si="1"/>
        <v>58</v>
      </c>
      <c r="Q14" s="20"/>
    </row>
    <row r="15" spans="1:17" x14ac:dyDescent="0.25">
      <c r="C15" s="10">
        <v>30</v>
      </c>
      <c r="D15" s="6">
        <v>0.6</v>
      </c>
      <c r="E15" s="6">
        <f t="shared" si="0"/>
        <v>30.6</v>
      </c>
      <c r="F15" s="20"/>
      <c r="N15" s="11">
        <v>65</v>
      </c>
      <c r="O15" s="6">
        <v>-0.1</v>
      </c>
      <c r="P15" s="6">
        <f t="shared" si="1"/>
        <v>64.900000000000006</v>
      </c>
      <c r="Q15" s="20"/>
    </row>
    <row r="16" spans="1:17" x14ac:dyDescent="0.25">
      <c r="C16" s="10">
        <v>32</v>
      </c>
      <c r="D16" s="6">
        <v>0.7</v>
      </c>
      <c r="E16" s="6">
        <f t="shared" si="0"/>
        <v>32.700000000000003</v>
      </c>
      <c r="F16" s="20"/>
      <c r="N16" s="11">
        <v>70</v>
      </c>
      <c r="O16" s="6">
        <v>2</v>
      </c>
      <c r="P16" s="6">
        <f t="shared" si="1"/>
        <v>72</v>
      </c>
      <c r="Q16" s="20"/>
    </row>
    <row r="17" spans="3:19" x14ac:dyDescent="0.25">
      <c r="C17" s="10">
        <v>35</v>
      </c>
      <c r="D17" s="6">
        <v>0.8</v>
      </c>
      <c r="E17" s="6">
        <f t="shared" si="0"/>
        <v>35.799999999999997</v>
      </c>
      <c r="F17" s="20"/>
      <c r="N17" s="11">
        <v>75</v>
      </c>
      <c r="O17" s="6">
        <v>4.2</v>
      </c>
      <c r="P17" s="6">
        <f t="shared" si="1"/>
        <v>79.2</v>
      </c>
      <c r="Q17" s="20"/>
    </row>
    <row r="18" spans="3:19" x14ac:dyDescent="0.25">
      <c r="C18" s="10">
        <v>40</v>
      </c>
      <c r="D18" s="6">
        <v>1.2</v>
      </c>
      <c r="E18" s="6">
        <f t="shared" si="0"/>
        <v>41.2</v>
      </c>
      <c r="F18" s="19"/>
      <c r="N18" s="11">
        <v>80</v>
      </c>
      <c r="O18" s="6">
        <v>6.6</v>
      </c>
      <c r="P18" s="6">
        <f t="shared" si="1"/>
        <v>86.6</v>
      </c>
      <c r="Q18" s="19"/>
    </row>
    <row r="19" spans="3:19" x14ac:dyDescent="0.25">
      <c r="N19" t="s">
        <v>0</v>
      </c>
    </row>
    <row r="20" spans="3:19" ht="15.75" thickBot="1" x14ac:dyDescent="0.3">
      <c r="C20" s="7" t="s">
        <v>39</v>
      </c>
      <c r="D20" s="7"/>
    </row>
    <row r="21" spans="3:19" x14ac:dyDescent="0.25">
      <c r="C21" s="7" t="s">
        <v>40</v>
      </c>
      <c r="D21" s="7"/>
      <c r="N21" s="4" t="s">
        <v>1</v>
      </c>
      <c r="O21" s="4"/>
    </row>
    <row r="22" spans="3:19" x14ac:dyDescent="0.25">
      <c r="N22" s="1" t="s">
        <v>2</v>
      </c>
      <c r="O22" s="1">
        <v>0.99936769475062437</v>
      </c>
    </row>
    <row r="23" spans="3:19" x14ac:dyDescent="0.25">
      <c r="C23" t="s">
        <v>0</v>
      </c>
      <c r="N23" s="1" t="s">
        <v>3</v>
      </c>
      <c r="O23" s="1">
        <v>0.99873578931117712</v>
      </c>
    </row>
    <row r="24" spans="3:19" ht="15.75" thickBot="1" x14ac:dyDescent="0.3">
      <c r="N24" s="1" t="s">
        <v>4</v>
      </c>
      <c r="O24" s="1">
        <v>0.99859532145686336</v>
      </c>
    </row>
    <row r="25" spans="3:19" x14ac:dyDescent="0.25">
      <c r="C25" s="4" t="s">
        <v>1</v>
      </c>
      <c r="D25" s="4"/>
      <c r="N25" s="1" t="s">
        <v>5</v>
      </c>
      <c r="O25" s="1">
        <v>0.82657868544520352</v>
      </c>
    </row>
    <row r="26" spans="3:19" ht="15.75" thickBot="1" x14ac:dyDescent="0.3">
      <c r="C26" s="1" t="s">
        <v>2</v>
      </c>
      <c r="D26" s="1">
        <v>0.99981179769588224</v>
      </c>
      <c r="N26" s="2" t="s">
        <v>6</v>
      </c>
      <c r="O26" s="2">
        <v>11</v>
      </c>
    </row>
    <row r="27" spans="3:19" x14ac:dyDescent="0.25">
      <c r="C27" s="1" t="s">
        <v>3</v>
      </c>
      <c r="D27" s="1">
        <v>0.99962363081187178</v>
      </c>
    </row>
    <row r="28" spans="3:19" ht="15.75" thickBot="1" x14ac:dyDescent="0.3">
      <c r="C28" s="1" t="s">
        <v>4</v>
      </c>
      <c r="D28" s="1">
        <v>0.99958181201319085</v>
      </c>
      <c r="N28" t="s">
        <v>7</v>
      </c>
    </row>
    <row r="29" spans="3:19" x14ac:dyDescent="0.25">
      <c r="C29" s="1" t="s">
        <v>5</v>
      </c>
      <c r="D29" s="1">
        <v>0.18296308955357349</v>
      </c>
      <c r="N29" s="3"/>
      <c r="O29" s="3" t="s">
        <v>12</v>
      </c>
      <c r="P29" s="3" t="s">
        <v>13</v>
      </c>
      <c r="Q29" s="3" t="s">
        <v>14</v>
      </c>
      <c r="R29" s="3" t="s">
        <v>15</v>
      </c>
      <c r="S29" s="3" t="s">
        <v>16</v>
      </c>
    </row>
    <row r="30" spans="3:19" ht="15.75" thickBot="1" x14ac:dyDescent="0.3">
      <c r="C30" s="2" t="s">
        <v>6</v>
      </c>
      <c r="D30" s="2">
        <v>11</v>
      </c>
      <c r="N30" s="1" t="s">
        <v>8</v>
      </c>
      <c r="O30" s="1">
        <v>1</v>
      </c>
      <c r="P30" s="1">
        <v>4857.8272727272733</v>
      </c>
      <c r="Q30" s="1">
        <v>4857.8272727272733</v>
      </c>
      <c r="R30" s="1">
        <v>7110.06652868128</v>
      </c>
      <c r="S30" s="1">
        <v>2.3506708886250793E-14</v>
      </c>
    </row>
    <row r="31" spans="3:19" x14ac:dyDescent="0.25">
      <c r="N31" s="1" t="s">
        <v>9</v>
      </c>
      <c r="O31" s="1">
        <v>9</v>
      </c>
      <c r="P31" s="1">
        <v>6.1490909090908863</v>
      </c>
      <c r="Q31" s="1">
        <v>0.68323232323232075</v>
      </c>
      <c r="R31" s="1"/>
      <c r="S31" s="1"/>
    </row>
    <row r="32" spans="3:19" ht="15.75" thickBot="1" x14ac:dyDescent="0.3">
      <c r="C32" t="s">
        <v>7</v>
      </c>
      <c r="N32" s="2" t="s">
        <v>10</v>
      </c>
      <c r="O32" s="2">
        <v>10</v>
      </c>
      <c r="P32" s="2">
        <v>4863.9763636363641</v>
      </c>
      <c r="Q32" s="2"/>
      <c r="R32" s="2"/>
      <c r="S32" s="2"/>
    </row>
    <row r="33" spans="3:22" ht="15.75" thickBot="1" x14ac:dyDescent="0.3">
      <c r="C33" s="3"/>
      <c r="D33" s="3" t="s">
        <v>12</v>
      </c>
      <c r="E33" s="3" t="s">
        <v>13</v>
      </c>
      <c r="F33" s="3" t="s">
        <v>14</v>
      </c>
      <c r="G33" s="3" t="s">
        <v>15</v>
      </c>
      <c r="H33" s="3" t="s">
        <v>16</v>
      </c>
    </row>
    <row r="34" spans="3:22" x14ac:dyDescent="0.25">
      <c r="C34" s="1" t="s">
        <v>8</v>
      </c>
      <c r="D34" s="1">
        <v>1</v>
      </c>
      <c r="E34" s="1">
        <v>800.18781147983998</v>
      </c>
      <c r="F34" s="1">
        <v>800.18781147983998</v>
      </c>
      <c r="G34" s="1">
        <v>23903.69074060184</v>
      </c>
      <c r="H34" s="1">
        <v>1.0071860399634988E-16</v>
      </c>
      <c r="N34" s="3"/>
      <c r="O34" s="3" t="s">
        <v>17</v>
      </c>
      <c r="P34" s="3" t="s">
        <v>5</v>
      </c>
      <c r="Q34" s="3" t="s">
        <v>18</v>
      </c>
      <c r="R34" s="3" t="s">
        <v>19</v>
      </c>
      <c r="S34" s="3" t="s">
        <v>20</v>
      </c>
      <c r="T34" s="3" t="s">
        <v>21</v>
      </c>
      <c r="U34" s="3" t="s">
        <v>22</v>
      </c>
      <c r="V34" s="3" t="s">
        <v>23</v>
      </c>
    </row>
    <row r="35" spans="3:22" x14ac:dyDescent="0.25">
      <c r="C35" s="1" t="s">
        <v>9</v>
      </c>
      <c r="D35" s="1">
        <v>9</v>
      </c>
      <c r="E35" s="1">
        <v>0.30127942925090062</v>
      </c>
      <c r="F35" s="1">
        <v>3.3475492138988955E-2</v>
      </c>
      <c r="G35" s="1"/>
      <c r="H35" s="1"/>
      <c r="N35" s="1" t="s">
        <v>11</v>
      </c>
      <c r="O35" s="8">
        <v>-20.981818181818163</v>
      </c>
      <c r="P35" s="1">
        <v>0.90203524595234585</v>
      </c>
      <c r="Q35" s="1">
        <v>-23.260530312943697</v>
      </c>
      <c r="R35" s="1">
        <v>2.3877048659329117E-9</v>
      </c>
      <c r="S35" s="1">
        <v>-23.022363674545701</v>
      </c>
      <c r="T35" s="1">
        <v>-18.941272689090624</v>
      </c>
      <c r="U35" s="1">
        <v>-23.022363674545701</v>
      </c>
      <c r="V35" s="1">
        <v>-18.941272689090624</v>
      </c>
    </row>
    <row r="36" spans="3:22" ht="15.75" thickBot="1" x14ac:dyDescent="0.3">
      <c r="C36" s="2" t="s">
        <v>10</v>
      </c>
      <c r="D36" s="2">
        <v>10</v>
      </c>
      <c r="E36" s="2">
        <v>800.48909090909092</v>
      </c>
      <c r="F36" s="2"/>
      <c r="G36" s="2"/>
      <c r="H36" s="2"/>
      <c r="N36" s="2" t="s">
        <v>24</v>
      </c>
      <c r="O36" s="9">
        <v>1.3290909090909087</v>
      </c>
      <c r="P36" s="2">
        <v>1.5762237072796035E-2</v>
      </c>
      <c r="Q36" s="2">
        <v>84.321210431784451</v>
      </c>
      <c r="R36" s="2">
        <v>2.3506708886250875E-14</v>
      </c>
      <c r="S36" s="2">
        <v>1.2934342515949597</v>
      </c>
      <c r="T36" s="2">
        <v>1.3647475665868576</v>
      </c>
      <c r="U36" s="2">
        <v>1.2934342515949597</v>
      </c>
      <c r="V36" s="2">
        <v>1.3647475665868576</v>
      </c>
    </row>
    <row r="37" spans="3:22" ht="15.75" thickBot="1" x14ac:dyDescent="0.3"/>
    <row r="38" spans="3:22" x14ac:dyDescent="0.25">
      <c r="C38" s="3"/>
      <c r="D38" s="3" t="s">
        <v>17</v>
      </c>
      <c r="E38" s="3" t="s">
        <v>5</v>
      </c>
      <c r="F38" s="3" t="s">
        <v>18</v>
      </c>
      <c r="G38" s="3" t="s">
        <v>19</v>
      </c>
      <c r="H38" s="3" t="s">
        <v>20</v>
      </c>
      <c r="I38" s="3" t="s">
        <v>21</v>
      </c>
      <c r="J38" s="3" t="s">
        <v>22</v>
      </c>
      <c r="K38" s="3" t="s">
        <v>23</v>
      </c>
    </row>
    <row r="39" spans="3:22" x14ac:dyDescent="0.25">
      <c r="C39" s="1" t="s">
        <v>11</v>
      </c>
      <c r="D39" s="8">
        <v>-3.6218787158141197E-2</v>
      </c>
      <c r="E39" s="1">
        <v>0.17838057491671905</v>
      </c>
      <c r="F39" s="1">
        <v>-0.20304221563951538</v>
      </c>
      <c r="G39" s="1">
        <v>0.84361822209873316</v>
      </c>
      <c r="H39" s="1">
        <v>-0.43974368241005907</v>
      </c>
      <c r="I39" s="1">
        <v>0.36730610809377667</v>
      </c>
      <c r="J39" s="1">
        <v>-0.43974368241005907</v>
      </c>
      <c r="K39" s="1">
        <v>0.36730610809377667</v>
      </c>
    </row>
    <row r="40" spans="3:22" ht="15.75" thickBot="1" x14ac:dyDescent="0.3">
      <c r="C40" s="2" t="s">
        <v>24</v>
      </c>
      <c r="D40" s="9">
        <v>1.0230439952437573</v>
      </c>
      <c r="E40" s="2">
        <v>6.6170105935288168E-3</v>
      </c>
      <c r="F40" s="2">
        <v>154.60818458478141</v>
      </c>
      <c r="G40" s="2">
        <v>1.0071860399634988E-16</v>
      </c>
      <c r="H40" s="2">
        <v>1.0080752773332946</v>
      </c>
      <c r="I40" s="2">
        <v>1.0380127131542201</v>
      </c>
      <c r="J40" s="2">
        <v>1.0080752773332946</v>
      </c>
      <c r="K40" s="2">
        <v>1.0380127131542201</v>
      </c>
    </row>
  </sheetData>
  <mergeCells count="5">
    <mergeCell ref="F8:F18"/>
    <mergeCell ref="N6:Q6"/>
    <mergeCell ref="Q8:Q18"/>
    <mergeCell ref="C6:F6"/>
    <mergeCell ref="C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9728-4638-4F4A-9542-EBF98EF1FF51}">
  <dimension ref="A1:V40"/>
  <sheetViews>
    <sheetView workbookViewId="0">
      <selection activeCell="T23" sqref="T23"/>
    </sheetView>
  </sheetViews>
  <sheetFormatPr defaultRowHeight="15" x14ac:dyDescent="0.25"/>
  <sheetData>
    <row r="1" spans="1:17" x14ac:dyDescent="0.25">
      <c r="A1" t="s">
        <v>25</v>
      </c>
      <c r="B1" s="5" t="s">
        <v>29</v>
      </c>
      <c r="C1" t="s">
        <v>30</v>
      </c>
    </row>
    <row r="2" spans="1:17" x14ac:dyDescent="0.25">
      <c r="A2" t="s">
        <v>26</v>
      </c>
      <c r="B2" s="5" t="s">
        <v>29</v>
      </c>
      <c r="C2" t="s">
        <v>31</v>
      </c>
    </row>
    <row r="3" spans="1:17" x14ac:dyDescent="0.25">
      <c r="A3" t="s">
        <v>27</v>
      </c>
      <c r="B3" s="5" t="s">
        <v>29</v>
      </c>
      <c r="C3" t="s">
        <v>32</v>
      </c>
    </row>
    <row r="4" spans="1:17" x14ac:dyDescent="0.25">
      <c r="A4" t="s">
        <v>28</v>
      </c>
      <c r="B4" s="5" t="s">
        <v>29</v>
      </c>
      <c r="C4" t="s">
        <v>43</v>
      </c>
    </row>
    <row r="5" spans="1:17" x14ac:dyDescent="0.25">
      <c r="A5" t="s">
        <v>44</v>
      </c>
      <c r="B5" s="5" t="s">
        <v>29</v>
      </c>
      <c r="C5" s="22">
        <v>45799</v>
      </c>
      <c r="D5" s="22"/>
    </row>
    <row r="6" spans="1:17" x14ac:dyDescent="0.25">
      <c r="C6" s="21" t="s">
        <v>38</v>
      </c>
      <c r="D6" s="21"/>
      <c r="E6" s="21"/>
      <c r="F6" s="21"/>
      <c r="N6" s="21" t="s">
        <v>42</v>
      </c>
      <c r="O6" s="21"/>
      <c r="P6" s="21"/>
      <c r="Q6" s="21"/>
    </row>
    <row r="7" spans="1:17" x14ac:dyDescent="0.25">
      <c r="C7" s="6" t="s">
        <v>34</v>
      </c>
      <c r="D7" s="6" t="s">
        <v>35</v>
      </c>
      <c r="E7" s="6" t="s">
        <v>36</v>
      </c>
      <c r="F7" s="6" t="s">
        <v>37</v>
      </c>
      <c r="N7" s="6" t="s">
        <v>34</v>
      </c>
      <c r="O7" s="6" t="s">
        <v>35</v>
      </c>
      <c r="P7" s="6" t="s">
        <v>36</v>
      </c>
      <c r="Q7" s="6" t="s">
        <v>37</v>
      </c>
    </row>
    <row r="8" spans="1:17" x14ac:dyDescent="0.25">
      <c r="C8" s="10">
        <v>10</v>
      </c>
      <c r="D8" s="6">
        <v>0.3</v>
      </c>
      <c r="E8" s="6">
        <f>C8+D8</f>
        <v>10.3</v>
      </c>
      <c r="F8" s="18">
        <v>0.5</v>
      </c>
      <c r="N8" s="11">
        <v>30</v>
      </c>
      <c r="O8" s="6">
        <v>-10.8</v>
      </c>
      <c r="P8" s="11">
        <f>N8+O8</f>
        <v>19.2</v>
      </c>
      <c r="Q8" s="18">
        <v>2.7</v>
      </c>
    </row>
    <row r="9" spans="1:17" x14ac:dyDescent="0.25">
      <c r="C9" s="10">
        <v>15</v>
      </c>
      <c r="D9" s="6">
        <v>0.3</v>
      </c>
      <c r="E9" s="6">
        <f t="shared" ref="E9:E18" si="0">C9+D9</f>
        <v>15.3</v>
      </c>
      <c r="F9" s="20"/>
      <c r="N9" s="11">
        <v>35</v>
      </c>
      <c r="O9" s="6">
        <v>-9</v>
      </c>
      <c r="P9" s="6">
        <f t="shared" ref="P9:P18" si="1">N9+O9</f>
        <v>26</v>
      </c>
      <c r="Q9" s="20"/>
    </row>
    <row r="10" spans="1:17" x14ac:dyDescent="0.25">
      <c r="C10" s="10">
        <v>20</v>
      </c>
      <c r="D10" s="6">
        <v>0.4</v>
      </c>
      <c r="E10" s="6">
        <f t="shared" si="0"/>
        <v>20.399999999999999</v>
      </c>
      <c r="F10" s="20"/>
      <c r="N10" s="11">
        <v>40</v>
      </c>
      <c r="O10" s="6">
        <v>-7.3</v>
      </c>
      <c r="P10" s="6">
        <f t="shared" si="1"/>
        <v>32.700000000000003</v>
      </c>
      <c r="Q10" s="20"/>
    </row>
    <row r="11" spans="1:17" x14ac:dyDescent="0.25">
      <c r="C11" s="10">
        <v>22</v>
      </c>
      <c r="D11" s="6">
        <v>0.4</v>
      </c>
      <c r="E11" s="6">
        <f t="shared" si="0"/>
        <v>22.4</v>
      </c>
      <c r="F11" s="20"/>
      <c r="N11" s="11">
        <v>45</v>
      </c>
      <c r="O11" s="6">
        <v>-5.7</v>
      </c>
      <c r="P11" s="6">
        <f t="shared" si="1"/>
        <v>39.299999999999997</v>
      </c>
      <c r="Q11" s="20"/>
    </row>
    <row r="12" spans="1:17" x14ac:dyDescent="0.25">
      <c r="C12" s="10">
        <v>24</v>
      </c>
      <c r="D12" s="6">
        <v>0.5</v>
      </c>
      <c r="E12" s="6">
        <f t="shared" si="0"/>
        <v>24.5</v>
      </c>
      <c r="F12" s="20"/>
      <c r="N12" s="11">
        <v>50</v>
      </c>
      <c r="O12" s="6">
        <v>-4.0999999999999996</v>
      </c>
      <c r="P12" s="6">
        <f t="shared" si="1"/>
        <v>45.9</v>
      </c>
      <c r="Q12" s="20"/>
    </row>
    <row r="13" spans="1:17" x14ac:dyDescent="0.25">
      <c r="C13" s="10">
        <v>26</v>
      </c>
      <c r="D13" s="6">
        <v>0.6</v>
      </c>
      <c r="E13" s="6">
        <f t="shared" si="0"/>
        <v>26.6</v>
      </c>
      <c r="F13" s="20"/>
      <c r="N13" s="11">
        <v>55</v>
      </c>
      <c r="O13" s="6">
        <v>-2.5</v>
      </c>
      <c r="P13" s="6">
        <f t="shared" si="1"/>
        <v>52.5</v>
      </c>
      <c r="Q13" s="20"/>
    </row>
    <row r="14" spans="1:17" x14ac:dyDescent="0.25">
      <c r="C14" s="10">
        <v>28</v>
      </c>
      <c r="D14" s="6">
        <v>0.7</v>
      </c>
      <c r="E14" s="6">
        <f t="shared" si="0"/>
        <v>28.7</v>
      </c>
      <c r="F14" s="20"/>
      <c r="N14" s="11">
        <v>60</v>
      </c>
      <c r="O14" s="6">
        <v>-1</v>
      </c>
      <c r="P14" s="6">
        <f t="shared" si="1"/>
        <v>59</v>
      </c>
      <c r="Q14" s="20"/>
    </row>
    <row r="15" spans="1:17" x14ac:dyDescent="0.25">
      <c r="C15" s="10">
        <v>30</v>
      </c>
      <c r="D15" s="6">
        <v>0.8</v>
      </c>
      <c r="E15" s="6">
        <f t="shared" si="0"/>
        <v>30.8</v>
      </c>
      <c r="F15" s="20"/>
      <c r="N15" s="11">
        <v>65</v>
      </c>
      <c r="O15" s="6">
        <v>0.5</v>
      </c>
      <c r="P15" s="6">
        <f t="shared" si="1"/>
        <v>65.5</v>
      </c>
      <c r="Q15" s="20"/>
    </row>
    <row r="16" spans="1:17" x14ac:dyDescent="0.25">
      <c r="C16" s="10">
        <v>32</v>
      </c>
      <c r="D16" s="6">
        <v>0.9</v>
      </c>
      <c r="E16" s="6">
        <f t="shared" si="0"/>
        <v>32.9</v>
      </c>
      <c r="F16" s="20"/>
      <c r="N16" s="11">
        <v>70</v>
      </c>
      <c r="O16" s="6">
        <v>1.9</v>
      </c>
      <c r="P16" s="6">
        <f t="shared" si="1"/>
        <v>71.900000000000006</v>
      </c>
      <c r="Q16" s="20"/>
    </row>
    <row r="17" spans="3:19" x14ac:dyDescent="0.25">
      <c r="C17" s="10">
        <v>35</v>
      </c>
      <c r="D17" s="6">
        <v>1.2</v>
      </c>
      <c r="E17" s="6">
        <f t="shared" si="0"/>
        <v>36.200000000000003</v>
      </c>
      <c r="F17" s="20"/>
      <c r="N17" s="11">
        <v>75</v>
      </c>
      <c r="O17" s="6">
        <v>3.3</v>
      </c>
      <c r="P17" s="6">
        <f t="shared" si="1"/>
        <v>78.3</v>
      </c>
      <c r="Q17" s="20"/>
    </row>
    <row r="18" spans="3:19" x14ac:dyDescent="0.25">
      <c r="C18" s="10">
        <v>40</v>
      </c>
      <c r="D18" s="6">
        <v>1.6</v>
      </c>
      <c r="E18" s="6">
        <f t="shared" si="0"/>
        <v>41.6</v>
      </c>
      <c r="F18" s="19"/>
      <c r="N18" s="11">
        <v>80</v>
      </c>
      <c r="O18" s="6">
        <v>4.5999999999999996</v>
      </c>
      <c r="P18" s="6">
        <f t="shared" si="1"/>
        <v>84.6</v>
      </c>
      <c r="Q18" s="19"/>
    </row>
    <row r="20" spans="3:19" x14ac:dyDescent="0.25">
      <c r="C20" s="7" t="s">
        <v>39</v>
      </c>
      <c r="D20" s="7"/>
      <c r="N20" t="s">
        <v>0</v>
      </c>
    </row>
    <row r="21" spans="3:19" ht="15.75" thickBot="1" x14ac:dyDescent="0.3">
      <c r="C21" s="7" t="s">
        <v>40</v>
      </c>
      <c r="D21" s="7"/>
    </row>
    <row r="22" spans="3:19" x14ac:dyDescent="0.25">
      <c r="N22" s="4" t="s">
        <v>1</v>
      </c>
      <c r="O22" s="4"/>
    </row>
    <row r="23" spans="3:19" x14ac:dyDescent="0.25">
      <c r="C23" t="s">
        <v>0</v>
      </c>
      <c r="N23" s="1" t="s">
        <v>2</v>
      </c>
      <c r="O23" s="1">
        <v>0.99995138474924539</v>
      </c>
    </row>
    <row r="24" spans="3:19" ht="15.75" thickBot="1" x14ac:dyDescent="0.3">
      <c r="N24" s="1" t="s">
        <v>3</v>
      </c>
      <c r="O24" s="1">
        <v>0.99990277186193333</v>
      </c>
    </row>
    <row r="25" spans="3:19" x14ac:dyDescent="0.25">
      <c r="C25" s="4" t="s">
        <v>1</v>
      </c>
      <c r="D25" s="4"/>
      <c r="N25" s="1" t="s">
        <v>4</v>
      </c>
      <c r="O25" s="1">
        <v>0.99989196873548147</v>
      </c>
    </row>
    <row r="26" spans="3:19" x14ac:dyDescent="0.25">
      <c r="C26" s="1" t="s">
        <v>2</v>
      </c>
      <c r="D26" s="1">
        <v>0.99985320908427022</v>
      </c>
      <c r="N26" s="1" t="s">
        <v>5</v>
      </c>
      <c r="O26" s="1">
        <v>0.22542888417011245</v>
      </c>
    </row>
    <row r="27" spans="3:19" ht="15.75" thickBot="1" x14ac:dyDescent="0.3">
      <c r="C27" s="1" t="s">
        <v>3</v>
      </c>
      <c r="D27" s="1">
        <v>0.99970643971611339</v>
      </c>
      <c r="N27" s="2" t="s">
        <v>6</v>
      </c>
      <c r="O27" s="2">
        <v>11</v>
      </c>
    </row>
    <row r="28" spans="3:19" x14ac:dyDescent="0.25">
      <c r="C28" s="1" t="s">
        <v>4</v>
      </c>
      <c r="D28" s="1">
        <v>0.99967382190679266</v>
      </c>
    </row>
    <row r="29" spans="3:19" ht="15.75" thickBot="1" x14ac:dyDescent="0.3">
      <c r="C29" s="1" t="s">
        <v>5</v>
      </c>
      <c r="D29" s="1">
        <v>0.16473674535507268</v>
      </c>
      <c r="N29" t="s">
        <v>7</v>
      </c>
    </row>
    <row r="30" spans="3:19" ht="15.75" thickBot="1" x14ac:dyDescent="0.3">
      <c r="C30" s="2" t="s">
        <v>6</v>
      </c>
      <c r="D30" s="2">
        <v>11</v>
      </c>
      <c r="N30" s="3"/>
      <c r="O30" s="3" t="s">
        <v>12</v>
      </c>
      <c r="P30" s="3" t="s">
        <v>13</v>
      </c>
      <c r="Q30" s="3" t="s">
        <v>14</v>
      </c>
      <c r="R30" s="3" t="s">
        <v>15</v>
      </c>
      <c r="S30" s="3" t="s">
        <v>16</v>
      </c>
    </row>
    <row r="31" spans="3:19" x14ac:dyDescent="0.25">
      <c r="N31" s="1" t="s">
        <v>8</v>
      </c>
      <c r="O31" s="1">
        <v>1</v>
      </c>
      <c r="P31" s="1">
        <v>4703.5680909090906</v>
      </c>
      <c r="Q31" s="1">
        <v>4703.5680909090906</v>
      </c>
      <c r="R31" s="1">
        <v>92556.796064400434</v>
      </c>
      <c r="S31" s="1">
        <v>2.2796106344396962E-19</v>
      </c>
    </row>
    <row r="32" spans="3:19" ht="15.75" thickBot="1" x14ac:dyDescent="0.3">
      <c r="C32" t="s">
        <v>7</v>
      </c>
      <c r="N32" s="1" t="s">
        <v>9</v>
      </c>
      <c r="O32" s="1">
        <v>9</v>
      </c>
      <c r="P32" s="1">
        <v>0.45736363636363775</v>
      </c>
      <c r="Q32" s="1">
        <v>5.0818181818181971E-2</v>
      </c>
      <c r="R32" s="1"/>
      <c r="S32" s="1"/>
    </row>
    <row r="33" spans="3:22" ht="15.75" thickBot="1" x14ac:dyDescent="0.3">
      <c r="C33" s="3"/>
      <c r="D33" s="3" t="s">
        <v>12</v>
      </c>
      <c r="E33" s="3" t="s">
        <v>13</v>
      </c>
      <c r="F33" s="3" t="s">
        <v>14</v>
      </c>
      <c r="G33" s="3" t="s">
        <v>15</v>
      </c>
      <c r="H33" s="3" t="s">
        <v>16</v>
      </c>
      <c r="N33" s="2" t="s">
        <v>10</v>
      </c>
      <c r="O33" s="2">
        <v>10</v>
      </c>
      <c r="P33" s="2">
        <v>4704.0254545454545</v>
      </c>
      <c r="Q33" s="2"/>
      <c r="R33" s="2"/>
      <c r="S33" s="2"/>
    </row>
    <row r="34" spans="3:22" ht="15.75" thickBot="1" x14ac:dyDescent="0.3">
      <c r="C34" s="1" t="s">
        <v>8</v>
      </c>
      <c r="D34" s="1">
        <v>1</v>
      </c>
      <c r="E34" s="1">
        <v>831.76121078802305</v>
      </c>
      <c r="F34" s="1">
        <v>831.76121078802305</v>
      </c>
      <c r="G34" s="1">
        <v>30649.098162467562</v>
      </c>
      <c r="H34" s="1">
        <v>3.2920736801239814E-17</v>
      </c>
    </row>
    <row r="35" spans="3:22" x14ac:dyDescent="0.25">
      <c r="C35" s="1" t="s">
        <v>9</v>
      </c>
      <c r="D35" s="1">
        <v>9</v>
      </c>
      <c r="E35" s="1">
        <v>0.24424375743163859</v>
      </c>
      <c r="F35" s="1">
        <v>2.7138195270182065E-2</v>
      </c>
      <c r="G35" s="1"/>
      <c r="H35" s="1"/>
      <c r="N35" s="3"/>
      <c r="O35" s="3" t="s">
        <v>17</v>
      </c>
      <c r="P35" s="3" t="s">
        <v>5</v>
      </c>
      <c r="Q35" s="3" t="s">
        <v>18</v>
      </c>
      <c r="R35" s="3" t="s">
        <v>19</v>
      </c>
      <c r="S35" s="3" t="s">
        <v>20</v>
      </c>
      <c r="T35" s="3" t="s">
        <v>21</v>
      </c>
      <c r="U35" s="3" t="s">
        <v>22</v>
      </c>
      <c r="V35" s="3" t="s">
        <v>23</v>
      </c>
    </row>
    <row r="36" spans="3:22" ht="15.75" thickBot="1" x14ac:dyDescent="0.3">
      <c r="C36" s="2" t="s">
        <v>10</v>
      </c>
      <c r="D36" s="2">
        <v>10</v>
      </c>
      <c r="E36" s="2">
        <v>832.00545454545465</v>
      </c>
      <c r="F36" s="2"/>
      <c r="G36" s="2"/>
      <c r="H36" s="2"/>
      <c r="N36" s="1" t="s">
        <v>11</v>
      </c>
      <c r="O36" s="8">
        <v>-19.666363636363634</v>
      </c>
      <c r="P36" s="1">
        <v>0.24600779400405992</v>
      </c>
      <c r="Q36" s="1">
        <v>-79.942034828535057</v>
      </c>
      <c r="R36" s="1">
        <v>3.7965902554657588E-14</v>
      </c>
      <c r="S36" s="1">
        <v>-20.222871929674103</v>
      </c>
      <c r="T36" s="1">
        <v>-19.109855343053166</v>
      </c>
      <c r="U36" s="1">
        <v>-20.222871929674103</v>
      </c>
      <c r="V36" s="1">
        <v>-19.109855343053166</v>
      </c>
    </row>
    <row r="37" spans="3:22" ht="15.75" thickBot="1" x14ac:dyDescent="0.3">
      <c r="N37" s="2" t="s">
        <v>24</v>
      </c>
      <c r="O37" s="9">
        <v>1.3078181818181818</v>
      </c>
      <c r="P37" s="2">
        <v>4.2987601518316024E-3</v>
      </c>
      <c r="Q37" s="2">
        <v>304.23148434111886</v>
      </c>
      <c r="R37" s="2">
        <v>2.2796106344396962E-19</v>
      </c>
      <c r="S37" s="2">
        <v>1.2980937107495645</v>
      </c>
      <c r="T37" s="2">
        <v>1.3175426528867991</v>
      </c>
      <c r="U37" s="2">
        <v>1.2980937107495645</v>
      </c>
      <c r="V37" s="2">
        <v>1.3175426528867991</v>
      </c>
    </row>
    <row r="38" spans="3:22" x14ac:dyDescent="0.25">
      <c r="C38" s="3"/>
      <c r="D38" s="3" t="s">
        <v>17</v>
      </c>
      <c r="E38" s="3" t="s">
        <v>5</v>
      </c>
      <c r="F38" s="3" t="s">
        <v>18</v>
      </c>
      <c r="G38" s="3" t="s">
        <v>19</v>
      </c>
      <c r="H38" s="3" t="s">
        <v>20</v>
      </c>
      <c r="I38" s="3" t="s">
        <v>21</v>
      </c>
      <c r="J38" s="3" t="s">
        <v>22</v>
      </c>
      <c r="K38" s="3" t="s">
        <v>23</v>
      </c>
    </row>
    <row r="39" spans="3:22" x14ac:dyDescent="0.25">
      <c r="C39" s="1" t="s">
        <v>11</v>
      </c>
      <c r="D39" s="8">
        <v>-0.40318668252080059</v>
      </c>
      <c r="E39" s="1">
        <v>0.16061072983653643</v>
      </c>
      <c r="F39" s="1">
        <v>-2.510334664011233</v>
      </c>
      <c r="G39" s="1">
        <v>3.3292469129338365E-2</v>
      </c>
      <c r="H39" s="1">
        <v>-0.76651339544276897</v>
      </c>
      <c r="I39" s="1">
        <v>-3.9859969598832257E-2</v>
      </c>
      <c r="J39" s="1">
        <v>-0.76651339544276897</v>
      </c>
      <c r="K39" s="1">
        <v>-3.9859969598832257E-2</v>
      </c>
    </row>
    <row r="40" spans="3:22" ht="15.75" thickBot="1" x14ac:dyDescent="0.3">
      <c r="C40" s="2" t="s">
        <v>24</v>
      </c>
      <c r="D40" s="9">
        <v>1.0430321046373363</v>
      </c>
      <c r="E40" s="2">
        <v>5.9578398671432187E-3</v>
      </c>
      <c r="F40" s="2">
        <v>175.06883835356751</v>
      </c>
      <c r="G40" s="2">
        <v>3.2920736801239814E-17</v>
      </c>
      <c r="H40" s="2">
        <v>1.0295545345070736</v>
      </c>
      <c r="I40" s="2">
        <v>1.056509674767599</v>
      </c>
      <c r="J40" s="2">
        <v>1.0295545345070736</v>
      </c>
      <c r="K40" s="2">
        <v>1.056509674767599</v>
      </c>
    </row>
  </sheetData>
  <mergeCells count="5">
    <mergeCell ref="C6:F6"/>
    <mergeCell ref="N6:Q6"/>
    <mergeCell ref="F8:F18"/>
    <mergeCell ref="Q8:Q18"/>
    <mergeCell ref="C5:D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08080-9567-4A21-AC47-C8E72BB5109A}">
  <dimension ref="A1:V40"/>
  <sheetViews>
    <sheetView workbookViewId="0">
      <selection activeCell="T18" sqref="T18"/>
    </sheetView>
  </sheetViews>
  <sheetFormatPr defaultRowHeight="15" x14ac:dyDescent="0.25"/>
  <sheetData>
    <row r="1" spans="1:17" x14ac:dyDescent="0.25">
      <c r="A1" t="s">
        <v>25</v>
      </c>
      <c r="B1" s="5" t="s">
        <v>29</v>
      </c>
      <c r="C1" t="s">
        <v>30</v>
      </c>
    </row>
    <row r="2" spans="1:17" x14ac:dyDescent="0.25">
      <c r="A2" t="s">
        <v>26</v>
      </c>
      <c r="B2" s="5" t="s">
        <v>29</v>
      </c>
      <c r="C2" t="s">
        <v>31</v>
      </c>
    </row>
    <row r="3" spans="1:17" x14ac:dyDescent="0.25">
      <c r="A3" t="s">
        <v>27</v>
      </c>
      <c r="B3" s="5" t="s">
        <v>29</v>
      </c>
      <c r="C3" t="s">
        <v>32</v>
      </c>
    </row>
    <row r="4" spans="1:17" x14ac:dyDescent="0.25">
      <c r="A4" t="s">
        <v>28</v>
      </c>
      <c r="B4" s="5" t="s">
        <v>29</v>
      </c>
      <c r="C4" t="s">
        <v>45</v>
      </c>
    </row>
    <row r="5" spans="1:17" x14ac:dyDescent="0.25">
      <c r="A5" t="s">
        <v>44</v>
      </c>
      <c r="B5" s="5" t="s">
        <v>29</v>
      </c>
      <c r="C5" s="22">
        <v>45799</v>
      </c>
      <c r="D5" s="22"/>
    </row>
    <row r="6" spans="1:17" x14ac:dyDescent="0.25">
      <c r="C6" s="21" t="s">
        <v>38</v>
      </c>
      <c r="D6" s="21"/>
      <c r="E6" s="21"/>
      <c r="F6" s="21"/>
      <c r="N6" s="21" t="s">
        <v>42</v>
      </c>
      <c r="O6" s="21"/>
      <c r="P6" s="21"/>
      <c r="Q6" s="21"/>
    </row>
    <row r="7" spans="1:17" x14ac:dyDescent="0.25">
      <c r="C7" s="6" t="s">
        <v>34</v>
      </c>
      <c r="D7" s="6" t="s">
        <v>35</v>
      </c>
      <c r="E7" s="6" t="s">
        <v>36</v>
      </c>
      <c r="F7" s="6" t="s">
        <v>37</v>
      </c>
      <c r="N7" s="6" t="s">
        <v>34</v>
      </c>
      <c r="O7" s="6" t="s">
        <v>35</v>
      </c>
      <c r="P7" s="6" t="s">
        <v>36</v>
      </c>
      <c r="Q7" s="6" t="s">
        <v>37</v>
      </c>
    </row>
    <row r="8" spans="1:17" x14ac:dyDescent="0.25">
      <c r="C8" s="10">
        <v>10</v>
      </c>
      <c r="D8" s="6">
        <v>0.1</v>
      </c>
      <c r="E8" s="6">
        <f>C8+D8</f>
        <v>10.1</v>
      </c>
      <c r="F8" s="18">
        <v>0.6</v>
      </c>
      <c r="N8" s="11">
        <v>30</v>
      </c>
      <c r="O8" s="6">
        <v>-9.4</v>
      </c>
      <c r="P8" s="11">
        <f>N8+O8</f>
        <v>20.6</v>
      </c>
      <c r="Q8" s="18">
        <v>2.9</v>
      </c>
    </row>
    <row r="9" spans="1:17" x14ac:dyDescent="0.25">
      <c r="C9" s="10">
        <v>15</v>
      </c>
      <c r="D9" s="6">
        <v>0.2</v>
      </c>
      <c r="E9" s="6">
        <f t="shared" ref="E9:E18" si="0">C9+D9</f>
        <v>15.2</v>
      </c>
      <c r="F9" s="20"/>
      <c r="N9" s="11">
        <v>35</v>
      </c>
      <c r="O9" s="6">
        <v>-8.5</v>
      </c>
      <c r="P9" s="6">
        <f t="shared" ref="P9:P18" si="1">N9+O9</f>
        <v>26.5</v>
      </c>
      <c r="Q9" s="20"/>
    </row>
    <row r="10" spans="1:17" x14ac:dyDescent="0.25">
      <c r="C10" s="10">
        <v>20</v>
      </c>
      <c r="D10" s="6">
        <v>0.2</v>
      </c>
      <c r="E10" s="6">
        <f t="shared" si="0"/>
        <v>20.2</v>
      </c>
      <c r="F10" s="20"/>
      <c r="N10" s="11">
        <v>40</v>
      </c>
      <c r="O10" s="6">
        <v>-7.4</v>
      </c>
      <c r="P10" s="6">
        <f t="shared" si="1"/>
        <v>32.6</v>
      </c>
      <c r="Q10" s="20"/>
    </row>
    <row r="11" spans="1:17" x14ac:dyDescent="0.25">
      <c r="C11" s="10">
        <v>22</v>
      </c>
      <c r="D11" s="6">
        <v>0.2</v>
      </c>
      <c r="E11" s="6">
        <f t="shared" si="0"/>
        <v>22.2</v>
      </c>
      <c r="F11" s="20"/>
      <c r="N11" s="11">
        <v>45</v>
      </c>
      <c r="O11" s="6">
        <v>-6.1</v>
      </c>
      <c r="P11" s="6">
        <f t="shared" si="1"/>
        <v>38.9</v>
      </c>
      <c r="Q11" s="20"/>
    </row>
    <row r="12" spans="1:17" x14ac:dyDescent="0.25">
      <c r="C12" s="10">
        <v>24</v>
      </c>
      <c r="D12" s="6">
        <v>0.2</v>
      </c>
      <c r="E12" s="6">
        <f t="shared" si="0"/>
        <v>24.2</v>
      </c>
      <c r="F12" s="20"/>
      <c r="N12" s="11">
        <v>50</v>
      </c>
      <c r="O12" s="6">
        <v>-4.7</v>
      </c>
      <c r="P12" s="6">
        <f t="shared" si="1"/>
        <v>45.3</v>
      </c>
      <c r="Q12" s="20"/>
    </row>
    <row r="13" spans="1:17" x14ac:dyDescent="0.25">
      <c r="C13" s="10">
        <v>26</v>
      </c>
      <c r="D13" s="6">
        <v>0.2</v>
      </c>
      <c r="E13" s="6">
        <f t="shared" si="0"/>
        <v>26.2</v>
      </c>
      <c r="F13" s="20"/>
      <c r="N13" s="11">
        <v>55</v>
      </c>
      <c r="O13" s="6">
        <v>-3.2</v>
      </c>
      <c r="P13" s="6">
        <f t="shared" si="1"/>
        <v>51.8</v>
      </c>
      <c r="Q13" s="20"/>
    </row>
    <row r="14" spans="1:17" x14ac:dyDescent="0.25">
      <c r="C14" s="10">
        <v>28</v>
      </c>
      <c r="D14" s="6">
        <v>0.2</v>
      </c>
      <c r="E14" s="6">
        <f t="shared" si="0"/>
        <v>28.2</v>
      </c>
      <c r="F14" s="20"/>
      <c r="N14" s="11">
        <v>60</v>
      </c>
      <c r="O14" s="6">
        <v>-1.5</v>
      </c>
      <c r="P14" s="6">
        <f t="shared" si="1"/>
        <v>58.5</v>
      </c>
      <c r="Q14" s="20"/>
    </row>
    <row r="15" spans="1:17" x14ac:dyDescent="0.25">
      <c r="C15" s="10">
        <v>30</v>
      </c>
      <c r="D15" s="6">
        <v>0.2</v>
      </c>
      <c r="E15" s="6">
        <f t="shared" si="0"/>
        <v>30.2</v>
      </c>
      <c r="F15" s="20"/>
      <c r="N15" s="11">
        <v>65</v>
      </c>
      <c r="O15" s="6">
        <v>0.3</v>
      </c>
      <c r="P15" s="6">
        <f t="shared" si="1"/>
        <v>65.3</v>
      </c>
      <c r="Q15" s="20"/>
    </row>
    <row r="16" spans="1:17" x14ac:dyDescent="0.25">
      <c r="C16" s="10">
        <v>32</v>
      </c>
      <c r="D16" s="6">
        <v>0.2</v>
      </c>
      <c r="E16" s="6">
        <f t="shared" si="0"/>
        <v>32.200000000000003</v>
      </c>
      <c r="F16" s="20"/>
      <c r="N16" s="11">
        <v>70</v>
      </c>
      <c r="O16" s="6">
        <v>2.2000000000000002</v>
      </c>
      <c r="P16" s="6">
        <f t="shared" si="1"/>
        <v>72.2</v>
      </c>
      <c r="Q16" s="20"/>
    </row>
    <row r="17" spans="3:19" x14ac:dyDescent="0.25">
      <c r="C17" s="10">
        <v>35</v>
      </c>
      <c r="D17" s="6">
        <v>0.1</v>
      </c>
      <c r="E17" s="6">
        <f t="shared" si="0"/>
        <v>35.1</v>
      </c>
      <c r="F17" s="20"/>
      <c r="N17" s="11">
        <v>75</v>
      </c>
      <c r="O17" s="6">
        <v>4.3</v>
      </c>
      <c r="P17" s="6">
        <f t="shared" si="1"/>
        <v>79.3</v>
      </c>
      <c r="Q17" s="20"/>
    </row>
    <row r="18" spans="3:19" x14ac:dyDescent="0.25">
      <c r="C18" s="10">
        <v>40</v>
      </c>
      <c r="D18" s="6">
        <v>0.1</v>
      </c>
      <c r="E18" s="6">
        <f t="shared" si="0"/>
        <v>40.1</v>
      </c>
      <c r="F18" s="19"/>
      <c r="N18" s="11">
        <v>80</v>
      </c>
      <c r="O18" s="6">
        <v>6.5</v>
      </c>
      <c r="P18" s="6">
        <f t="shared" si="1"/>
        <v>86.5</v>
      </c>
      <c r="Q18" s="19"/>
    </row>
    <row r="20" spans="3:19" x14ac:dyDescent="0.25">
      <c r="C20" s="7" t="s">
        <v>39</v>
      </c>
      <c r="D20" s="7"/>
      <c r="N20" t="s">
        <v>0</v>
      </c>
    </row>
    <row r="21" spans="3:19" ht="15.75" thickBot="1" x14ac:dyDescent="0.3">
      <c r="C21" s="7" t="s">
        <v>40</v>
      </c>
      <c r="D21" s="7"/>
    </row>
    <row r="22" spans="3:19" x14ac:dyDescent="0.25">
      <c r="N22" s="4" t="s">
        <v>1</v>
      </c>
      <c r="O22" s="4"/>
    </row>
    <row r="23" spans="3:19" x14ac:dyDescent="0.25">
      <c r="C23" t="s">
        <v>0</v>
      </c>
      <c r="N23" s="1" t="s">
        <v>2</v>
      </c>
      <c r="O23" s="1">
        <v>0.9995741775402015</v>
      </c>
    </row>
    <row r="24" spans="3:19" ht="15.75" thickBot="1" x14ac:dyDescent="0.3">
      <c r="N24" s="1" t="s">
        <v>3</v>
      </c>
      <c r="O24" s="1">
        <v>0.99914853640517021</v>
      </c>
    </row>
    <row r="25" spans="3:19" x14ac:dyDescent="0.25">
      <c r="C25" s="4" t="s">
        <v>1</v>
      </c>
      <c r="D25" s="4"/>
      <c r="N25" s="1" t="s">
        <v>4</v>
      </c>
      <c r="O25" s="1">
        <v>0.999053929339078</v>
      </c>
    </row>
    <row r="26" spans="3:19" x14ac:dyDescent="0.25">
      <c r="C26" s="1" t="s">
        <v>2</v>
      </c>
      <c r="D26" s="1">
        <v>0.99998626245558642</v>
      </c>
      <c r="N26" s="1" t="s">
        <v>5</v>
      </c>
      <c r="O26" s="1">
        <v>0.67311277515792989</v>
      </c>
    </row>
    <row r="27" spans="3:19" ht="15.75" thickBot="1" x14ac:dyDescent="0.3">
      <c r="C27" s="1" t="s">
        <v>3</v>
      </c>
      <c r="D27" s="1">
        <v>0.99997252509989298</v>
      </c>
      <c r="N27" s="2" t="s">
        <v>6</v>
      </c>
      <c r="O27" s="2">
        <v>11</v>
      </c>
    </row>
    <row r="28" spans="3:19" x14ac:dyDescent="0.25">
      <c r="C28" s="1" t="s">
        <v>4</v>
      </c>
      <c r="D28" s="1">
        <v>0.99996947233321443</v>
      </c>
    </row>
    <row r="29" spans="3:19" ht="15.75" thickBot="1" x14ac:dyDescent="0.3">
      <c r="C29" s="1" t="s">
        <v>5</v>
      </c>
      <c r="D29" s="1">
        <v>4.8260807723879674E-2</v>
      </c>
      <c r="N29" t="s">
        <v>7</v>
      </c>
    </row>
    <row r="30" spans="3:19" ht="15.75" thickBot="1" x14ac:dyDescent="0.3">
      <c r="C30" s="2" t="s">
        <v>6</v>
      </c>
      <c r="D30" s="2">
        <v>11</v>
      </c>
      <c r="N30" s="3"/>
      <c r="O30" s="3" t="s">
        <v>12</v>
      </c>
      <c r="P30" s="3" t="s">
        <v>13</v>
      </c>
      <c r="Q30" s="3" t="s">
        <v>14</v>
      </c>
      <c r="R30" s="3" t="s">
        <v>15</v>
      </c>
      <c r="S30" s="3" t="s">
        <v>16</v>
      </c>
    </row>
    <row r="31" spans="3:19" x14ac:dyDescent="0.25">
      <c r="N31" s="1" t="s">
        <v>8</v>
      </c>
      <c r="O31" s="1">
        <v>1</v>
      </c>
      <c r="P31" s="1">
        <v>4785.0022727272726</v>
      </c>
      <c r="Q31" s="1">
        <v>4785.0022727272726</v>
      </c>
      <c r="R31" s="1">
        <v>10561.035001672011</v>
      </c>
      <c r="S31" s="1">
        <v>3.9689739488478327E-15</v>
      </c>
    </row>
    <row r="32" spans="3:19" ht="15.75" thickBot="1" x14ac:dyDescent="0.3">
      <c r="C32" t="s">
        <v>7</v>
      </c>
      <c r="N32" s="1" t="s">
        <v>9</v>
      </c>
      <c r="O32" s="1">
        <v>9</v>
      </c>
      <c r="P32" s="1">
        <v>4.0777272727272891</v>
      </c>
      <c r="Q32" s="1">
        <v>0.45308080808080992</v>
      </c>
      <c r="R32" s="1"/>
      <c r="S32" s="1"/>
    </row>
    <row r="33" spans="3:22" ht="15.75" thickBot="1" x14ac:dyDescent="0.3">
      <c r="C33" s="3"/>
      <c r="D33" s="3" t="s">
        <v>12</v>
      </c>
      <c r="E33" s="3" t="s">
        <v>13</v>
      </c>
      <c r="F33" s="3" t="s">
        <v>14</v>
      </c>
      <c r="G33" s="3" t="s">
        <v>15</v>
      </c>
      <c r="H33" s="3" t="s">
        <v>16</v>
      </c>
      <c r="N33" s="2" t="s">
        <v>10</v>
      </c>
      <c r="O33" s="2">
        <v>10</v>
      </c>
      <c r="P33" s="2">
        <v>4789.08</v>
      </c>
      <c r="Q33" s="2"/>
      <c r="R33" s="2"/>
      <c r="S33" s="2"/>
    </row>
    <row r="34" spans="3:22" ht="15.75" thickBot="1" x14ac:dyDescent="0.3">
      <c r="C34" s="1" t="s">
        <v>8</v>
      </c>
      <c r="D34" s="1">
        <v>1</v>
      </c>
      <c r="E34" s="1">
        <v>762.92812895903171</v>
      </c>
      <c r="F34" s="1">
        <v>762.92812895903171</v>
      </c>
      <c r="G34" s="1">
        <v>327562.70963136409</v>
      </c>
      <c r="H34" s="1">
        <v>7.7267519365284291E-22</v>
      </c>
    </row>
    <row r="35" spans="3:22" x14ac:dyDescent="0.25">
      <c r="C35" s="1" t="s">
        <v>9</v>
      </c>
      <c r="D35" s="1">
        <v>9</v>
      </c>
      <c r="E35" s="1">
        <v>2.0961950059451555E-2</v>
      </c>
      <c r="F35" s="1">
        <v>2.3291055621612838E-3</v>
      </c>
      <c r="G35" s="1"/>
      <c r="H35" s="1"/>
      <c r="N35" s="3"/>
      <c r="O35" s="3" t="s">
        <v>17</v>
      </c>
      <c r="P35" s="3" t="s">
        <v>5</v>
      </c>
      <c r="Q35" s="3" t="s">
        <v>18</v>
      </c>
      <c r="R35" s="3" t="s">
        <v>19</v>
      </c>
      <c r="S35" s="3" t="s">
        <v>20</v>
      </c>
      <c r="T35" s="3" t="s">
        <v>21</v>
      </c>
      <c r="U35" s="3" t="s">
        <v>22</v>
      </c>
      <c r="V35" s="3" t="s">
        <v>23</v>
      </c>
    </row>
    <row r="36" spans="3:22" ht="15.75" thickBot="1" x14ac:dyDescent="0.3">
      <c r="C36" s="2" t="s">
        <v>10</v>
      </c>
      <c r="D36" s="2">
        <v>10</v>
      </c>
      <c r="E36" s="2">
        <v>762.94909090909118</v>
      </c>
      <c r="F36" s="2"/>
      <c r="G36" s="2"/>
      <c r="H36" s="2"/>
      <c r="N36" s="1" t="s">
        <v>11</v>
      </c>
      <c r="O36" s="8">
        <v>-20.049999999999997</v>
      </c>
      <c r="P36" s="1">
        <v>0.73455976833738557</v>
      </c>
      <c r="Q36" s="1">
        <v>-27.295260187447361</v>
      </c>
      <c r="R36" s="1">
        <v>5.7643506253275439E-10</v>
      </c>
      <c r="S36" s="1">
        <v>-21.711689641447805</v>
      </c>
      <c r="T36" s="1">
        <v>-18.388310358552189</v>
      </c>
      <c r="U36" s="1">
        <v>-21.711689641447805</v>
      </c>
      <c r="V36" s="1">
        <v>-18.388310358552189</v>
      </c>
    </row>
    <row r="37" spans="3:22" ht="15.75" thickBot="1" x14ac:dyDescent="0.3">
      <c r="N37" s="2" t="s">
        <v>24</v>
      </c>
      <c r="O37" s="9">
        <v>1.3190909090909091</v>
      </c>
      <c r="P37" s="2">
        <v>1.283575698912732E-2</v>
      </c>
      <c r="Q37" s="2">
        <v>102.76689642911288</v>
      </c>
      <c r="R37" s="2">
        <v>3.9689739488478327E-15</v>
      </c>
      <c r="S37" s="2">
        <v>1.2900544094780175</v>
      </c>
      <c r="T37" s="2">
        <v>1.3481274087038007</v>
      </c>
      <c r="U37" s="2">
        <v>1.2900544094780175</v>
      </c>
      <c r="V37" s="2">
        <v>1.3481274087038007</v>
      </c>
    </row>
    <row r="38" spans="3:22" x14ac:dyDescent="0.25">
      <c r="C38" s="3"/>
      <c r="D38" s="3" t="s">
        <v>17</v>
      </c>
      <c r="E38" s="3" t="s">
        <v>5</v>
      </c>
      <c r="F38" s="3" t="s">
        <v>18</v>
      </c>
      <c r="G38" s="3" t="s">
        <v>19</v>
      </c>
      <c r="H38" s="3" t="s">
        <v>20</v>
      </c>
      <c r="I38" s="3" t="s">
        <v>21</v>
      </c>
      <c r="J38" s="3" t="s">
        <v>22</v>
      </c>
      <c r="K38" s="3" t="s">
        <v>23</v>
      </c>
    </row>
    <row r="39" spans="3:22" x14ac:dyDescent="0.25">
      <c r="C39" s="1" t="s">
        <v>11</v>
      </c>
      <c r="D39" s="8">
        <v>0.19985731272295126</v>
      </c>
      <c r="E39" s="1">
        <v>4.7052061969089932E-2</v>
      </c>
      <c r="F39" s="1">
        <v>4.2475782008075269</v>
      </c>
      <c r="G39" s="1">
        <v>2.1501315894195184E-3</v>
      </c>
      <c r="H39" s="1">
        <v>9.3418153715149443E-2</v>
      </c>
      <c r="I39" s="1">
        <v>0.30629647173075308</v>
      </c>
      <c r="J39" s="1">
        <v>9.3418153715149443E-2</v>
      </c>
      <c r="K39" s="1">
        <v>0.30629647173075308</v>
      </c>
    </row>
    <row r="40" spans="3:22" ht="15.75" thickBot="1" x14ac:dyDescent="0.3">
      <c r="C40" s="2" t="s">
        <v>24</v>
      </c>
      <c r="D40" s="9">
        <v>0.99894173602853731</v>
      </c>
      <c r="E40" s="2">
        <v>1.7453917986428754E-3</v>
      </c>
      <c r="F40" s="2">
        <v>572.33094414976722</v>
      </c>
      <c r="G40" s="2">
        <v>7.7267519365284291E-22</v>
      </c>
      <c r="H40" s="2">
        <v>0.99499338546934812</v>
      </c>
      <c r="I40" s="2">
        <v>1.0028900865877266</v>
      </c>
      <c r="J40" s="2">
        <v>0.99499338546934812</v>
      </c>
      <c r="K40" s="2">
        <v>1.0028900865877266</v>
      </c>
    </row>
  </sheetData>
  <mergeCells count="5">
    <mergeCell ref="C5:D5"/>
    <mergeCell ref="C6:F6"/>
    <mergeCell ref="N6:Q6"/>
    <mergeCell ref="F8:F18"/>
    <mergeCell ref="Q8:Q1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ARRAY</vt:lpstr>
      <vt:lpstr>TH-01</vt:lpstr>
      <vt:lpstr>TH-02</vt:lpstr>
      <vt:lpstr>TH-03</vt:lpstr>
      <vt:lpstr>TH-04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2025-06-17T02:11:21Z</dcterms:created>
  <dcterms:modified xsi:type="dcterms:W3CDTF">2025-06-18T09:25:35Z</dcterms:modified>
</cp:coreProperties>
</file>