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aster CMC\"/>
    </mc:Choice>
  </mc:AlternateContent>
  <xr:revisionPtr revIDLastSave="0" documentId="13_ncr:1_{56139327-6FA2-491F-84B2-53DD972D2026}" xr6:coauthVersionLast="45" xr6:coauthVersionMax="45" xr10:uidLastSave="{00000000-0000-0000-0000-000000000000}"/>
  <bookViews>
    <workbookView xWindow="-120" yWindow="-120" windowWidth="29040" windowHeight="15840" xr2:uid="{43EDD304-AA60-4ED7-B217-E1E17FB271FB}"/>
  </bookViews>
  <sheets>
    <sheet name="ARRAY" sheetId="2" r:id="rId1"/>
    <sheet name="Regresi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2" l="1"/>
  <c r="Q7" i="2"/>
  <c r="P7" i="2"/>
  <c r="O7" i="2"/>
  <c r="N7" i="2"/>
  <c r="M7" i="2"/>
  <c r="L7" i="2"/>
  <c r="K7" i="2"/>
  <c r="J7" i="2"/>
  <c r="I7" i="2"/>
  <c r="H7" i="2"/>
  <c r="G7" i="2"/>
  <c r="F7" i="2"/>
  <c r="E7" i="2"/>
  <c r="C7" i="2"/>
  <c r="I25" i="1" l="1"/>
  <c r="I24" i="1"/>
  <c r="D27" i="1"/>
  <c r="D26" i="1"/>
  <c r="D25" i="1"/>
  <c r="D24" i="1"/>
  <c r="N17" i="1"/>
  <c r="N16" i="1"/>
  <c r="N15" i="1"/>
  <c r="N14" i="1"/>
  <c r="I17" i="1"/>
  <c r="I16" i="1"/>
  <c r="I15" i="1"/>
  <c r="I14" i="1"/>
  <c r="D14" i="1"/>
  <c r="D15" i="1"/>
  <c r="D16" i="1"/>
  <c r="D17" i="1"/>
  <c r="D18" i="1"/>
  <c r="D19" i="1"/>
</calcChain>
</file>

<file path=xl/sharedStrings.xml><?xml version="1.0" encoding="utf-8"?>
<sst xmlns="http://schemas.openxmlformats.org/spreadsheetml/2006/main" count="197" uniqueCount="56">
  <si>
    <t>Nama</t>
  </si>
  <si>
    <t>Merk</t>
  </si>
  <si>
    <t>Tipe</t>
  </si>
  <si>
    <t>No.Seri</t>
  </si>
  <si>
    <t>Tgl. Kalibrasi</t>
  </si>
  <si>
    <t>Tertelusur</t>
  </si>
  <si>
    <t>:</t>
  </si>
  <si>
    <t>ESA</t>
  </si>
  <si>
    <t>Fluke Biomedical</t>
  </si>
  <si>
    <t>ESA16</t>
  </si>
  <si>
    <t>LK-110-IDN</t>
  </si>
  <si>
    <t>Tegangan</t>
  </si>
  <si>
    <t>Tegangan (V)</t>
  </si>
  <si>
    <t>Setting Standar</t>
  </si>
  <si>
    <t>Penunjukan Alat</t>
  </si>
  <si>
    <t>Koreksi</t>
  </si>
  <si>
    <r>
      <t>Ketidakpastian (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charset val="1"/>
      </rPr>
      <t>)</t>
    </r>
  </si>
  <si>
    <t>Arus DC (uA)</t>
  </si>
  <si>
    <t>Arus AC (uA)</t>
  </si>
  <si>
    <r>
      <t>Resistansi Pembumian (</t>
    </r>
    <r>
      <rPr>
        <sz val="11"/>
        <color theme="1"/>
        <rFont val="Calibri"/>
        <family val="2"/>
      </rPr>
      <t>Ω</t>
    </r>
    <r>
      <rPr>
        <sz val="11"/>
        <color theme="1"/>
        <rFont val="Calibri"/>
        <family val="2"/>
        <charset val="1"/>
        <scheme val="minor"/>
      </rPr>
      <t>)</t>
    </r>
  </si>
  <si>
    <r>
      <t>Resistansi Isolasi (M</t>
    </r>
    <r>
      <rPr>
        <sz val="11"/>
        <color theme="1"/>
        <rFont val="Calibri"/>
        <family val="2"/>
      </rPr>
      <t>Ω</t>
    </r>
    <r>
      <rPr>
        <sz val="11"/>
        <color theme="1"/>
        <rFont val="Calibri"/>
        <family val="2"/>
        <charset val="1"/>
        <scheme val="minor"/>
      </rPr>
      <t>)</t>
    </r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</si>
  <si>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</si>
  <si>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</si>
  <si>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</si>
  <si>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</si>
  <si>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</si>
  <si>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</si>
  <si>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</si>
  <si>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</si>
  <si>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</si>
  <si>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</si>
  <si>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</si>
  <si>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</si>
  <si>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</si>
  <si>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</si>
  <si>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</si>
  <si>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</si>
  <si>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</si>
  <si>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</si>
  <si>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</si>
  <si>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</si>
  <si>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</si>
  <si>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</si>
  <si>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</si>
  <si>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</si>
  <si>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</si>
  <si>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r>
      <t>Resistansi Pembumian Protektif (</t>
    </r>
    <r>
      <rPr>
        <sz val="11"/>
        <color theme="1"/>
        <rFont val="Calibri"/>
        <family val="2"/>
      </rPr>
      <t>Ω</t>
    </r>
    <r>
      <rPr>
        <sz val="11"/>
        <color theme="1"/>
        <rFont val="Calibri"/>
        <family val="2"/>
        <charset val="1"/>
      </rPr>
      <t>)</t>
    </r>
  </si>
  <si>
    <r>
      <t>Resistansi Isolasi (M</t>
    </r>
    <r>
      <rPr>
        <sz val="11"/>
        <color theme="1"/>
        <rFont val="Calibri"/>
        <family val="2"/>
      </rPr>
      <t>Ω</t>
    </r>
    <r>
      <rPr>
        <sz val="11"/>
        <color theme="1"/>
        <rFont val="Calibri"/>
        <family val="2"/>
        <charset val="1"/>
      </rPr>
      <t>)</t>
    </r>
  </si>
  <si>
    <t>No. Seri</t>
  </si>
  <si>
    <t>No</t>
  </si>
  <si>
    <t>Type</t>
  </si>
  <si>
    <t>Tanggal Kalibrasi</t>
  </si>
  <si>
    <t>Variabel X</t>
  </si>
  <si>
    <r>
      <t>Arus AC (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charset val="1"/>
      </rPr>
      <t>A)</t>
    </r>
  </si>
  <si>
    <r>
      <t>Arus DC (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charset val="1"/>
      </rPr>
      <t>A)</t>
    </r>
  </si>
  <si>
    <r>
      <t>Resistansi Pembumian (</t>
    </r>
    <r>
      <rPr>
        <sz val="11"/>
        <color theme="1"/>
        <rFont val="Calibri"/>
        <family val="2"/>
      </rPr>
      <t>Ω</t>
    </r>
    <r>
      <rPr>
        <sz val="11"/>
        <color theme="1"/>
        <rFont val="Calibri"/>
        <family val="2"/>
        <charset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</si>
</sst>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3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3" xfId="0" applyFill="1" applyBorder="1" applyAlignment="1"/>
    <xf numFmtId="0" fontId="0" fillId="2" borderId="0" xfId="0" applyFill="1"/>
    <xf numFmtId="15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190501</xdr:colOff>
      <xdr:row>7</xdr:row>
      <xdr:rowOff>104775</xdr:rowOff>
    </xdr:from>
    <xdr:to>
      <xdr:col>23</xdr:col>
      <xdr:colOff>228601</xdr:colOff>
      <xdr:row>30</xdr:row>
      <xdr:rowOff>79916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8C685A-06B1-4B97-9811-A9DC355D1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92276" y="1438275"/>
          <a:ext cx="4305300" cy="43566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C10A-2977-4BEB-A8D3-EF44224D0C6C}">
  <dimension ref="C5:R7"/>
  <sheetViews>
    <sheetView tabSelected="1" workbookViewId="0">
      <selection activeCell="D33" sqref="D33"/>
    </sheetView>
  </sheetViews>
  <sheetFormatPr defaultRowHeight="15" x14ac:dyDescent="0.25"/>
  <cols>
    <col min="5" max="5" width="17" customWidth="1"/>
    <col min="7" max="8" width="16.28515625" customWidth="1"/>
    <col min="9" max="9" width="10.5703125" customWidth="1"/>
    <col min="10" max="11" width="10.28515625" customWidth="1"/>
    <col min="12" max="12" width="10.7109375" customWidth="1"/>
    <col min="13" max="13" width="10.140625" customWidth="1"/>
    <col min="14" max="14" width="10.28515625" customWidth="1"/>
    <col min="15" max="15" width="10.140625" customWidth="1"/>
    <col min="16" max="16" width="14.85546875" customWidth="1"/>
    <col min="17" max="17" width="9.85546875" customWidth="1"/>
    <col min="18" max="18" width="12.7109375" customWidth="1"/>
  </cols>
  <sheetData>
    <row r="5" spans="3:18" x14ac:dyDescent="0.25">
      <c r="C5" s="25" t="s">
        <v>48</v>
      </c>
      <c r="D5" s="25" t="s">
        <v>49</v>
      </c>
      <c r="E5" s="25" t="s">
        <v>1</v>
      </c>
      <c r="F5" s="25" t="s">
        <v>50</v>
      </c>
      <c r="G5" s="25" t="s">
        <v>51</v>
      </c>
      <c r="H5" s="25" t="s">
        <v>5</v>
      </c>
      <c r="I5" s="23" t="s">
        <v>11</v>
      </c>
      <c r="J5" s="24"/>
      <c r="K5" s="23" t="s">
        <v>54</v>
      </c>
      <c r="L5" s="24"/>
      <c r="M5" s="23" t="s">
        <v>53</v>
      </c>
      <c r="N5" s="24"/>
      <c r="O5" s="23" t="s">
        <v>55</v>
      </c>
      <c r="P5" s="24"/>
      <c r="Q5" s="23" t="s">
        <v>47</v>
      </c>
      <c r="R5" s="24"/>
    </row>
    <row r="6" spans="3:18" x14ac:dyDescent="0.25">
      <c r="C6" s="26"/>
      <c r="D6" s="26"/>
      <c r="E6" s="26"/>
      <c r="F6" s="26"/>
      <c r="G6" s="26"/>
      <c r="H6" s="26"/>
      <c r="I6" s="21" t="s">
        <v>32</v>
      </c>
      <c r="J6" s="21" t="s">
        <v>52</v>
      </c>
      <c r="K6" s="21" t="s">
        <v>32</v>
      </c>
      <c r="L6" s="21" t="s">
        <v>52</v>
      </c>
      <c r="M6" s="21" t="s">
        <v>32</v>
      </c>
      <c r="N6" s="21" t="s">
        <v>52</v>
      </c>
      <c r="O6" s="21" t="s">
        <v>32</v>
      </c>
      <c r="P6" s="21" t="s">
        <v>52</v>
      </c>
      <c r="Q6" s="21" t="s">
        <v>32</v>
      </c>
      <c r="R6" s="21" t="s">
        <v>52</v>
      </c>
    </row>
    <row r="7" spans="3:18" x14ac:dyDescent="0.25">
      <c r="C7" s="7">
        <f>Regresi!C5</f>
        <v>6579027</v>
      </c>
      <c r="D7" s="7">
        <v>1</v>
      </c>
      <c r="E7" s="7" t="str">
        <f>Regresi!C3</f>
        <v>Fluke Biomedical</v>
      </c>
      <c r="F7" s="7" t="str">
        <f>Regresi!C4</f>
        <v>ESA16</v>
      </c>
      <c r="G7" s="20">
        <f>Regresi!C6</f>
        <v>45819</v>
      </c>
      <c r="H7" s="7" t="str">
        <f>Regresi!C7</f>
        <v>LK-110-IDN</v>
      </c>
      <c r="I7" s="7">
        <f>Regresi!D47</f>
        <v>0.18884843505782101</v>
      </c>
      <c r="J7" s="7">
        <f>Regresi!D48</f>
        <v>0.99976434070331921</v>
      </c>
      <c r="K7" s="7">
        <f>Regresi!N47</f>
        <v>8.3113755394208511E-3</v>
      </c>
      <c r="L7" s="7">
        <f>Regresi!N48</f>
        <v>0.99798390215914468</v>
      </c>
      <c r="M7" s="7">
        <f>Regresi!N68</f>
        <v>1.109276060012121E-2</v>
      </c>
      <c r="N7" s="7">
        <f>Regresi!N69</f>
        <v>1.0019062227988453</v>
      </c>
      <c r="O7" s="7">
        <f>Regresi!D67</f>
        <v>-8.4833373595444295E-3</v>
      </c>
      <c r="P7" s="7">
        <f>Regresi!D68</f>
        <v>1.0005091922739648</v>
      </c>
      <c r="Q7" s="7">
        <f>Regresi!D87</f>
        <v>0</v>
      </c>
      <c r="R7" s="7">
        <f>Regresi!D88</f>
        <v>1</v>
      </c>
    </row>
  </sheetData>
  <mergeCells count="11">
    <mergeCell ref="H5:H6"/>
    <mergeCell ref="C5:C6"/>
    <mergeCell ref="D5:D6"/>
    <mergeCell ref="E5:E6"/>
    <mergeCell ref="F5:F6"/>
    <mergeCell ref="G5:G6"/>
    <mergeCell ref="I5:J5"/>
    <mergeCell ref="K5:L5"/>
    <mergeCell ref="M5:N5"/>
    <mergeCell ref="O5:P5"/>
    <mergeCell ref="Q5:R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BAB0-76F9-49B6-8F58-AF3A156FE49D}">
  <dimension ref="A2:U91"/>
  <sheetViews>
    <sheetView topLeftCell="A58" workbookViewId="0">
      <selection activeCell="H95" sqref="H95"/>
    </sheetView>
  </sheetViews>
  <sheetFormatPr defaultRowHeight="15" x14ac:dyDescent="0.25"/>
  <cols>
    <col min="1" max="1" width="12.7109375" customWidth="1"/>
    <col min="2" max="2" width="6.28515625" customWidth="1"/>
    <col min="3" max="3" width="14.7109375" customWidth="1"/>
    <col min="4" max="4" width="15.85546875" customWidth="1"/>
    <col min="5" max="5" width="10" customWidth="1"/>
    <col min="6" max="6" width="18" customWidth="1"/>
    <col min="8" max="8" width="14.85546875" customWidth="1"/>
    <col min="9" max="9" width="15.5703125" customWidth="1"/>
    <col min="11" max="11" width="18.7109375" customWidth="1"/>
    <col min="13" max="13" width="15.5703125" customWidth="1"/>
    <col min="14" max="14" width="15.42578125" customWidth="1"/>
    <col min="16" max="16" width="18.7109375" customWidth="1"/>
  </cols>
  <sheetData>
    <row r="2" spans="1:16" x14ac:dyDescent="0.25">
      <c r="A2" t="s">
        <v>0</v>
      </c>
      <c r="B2" s="1" t="s">
        <v>6</v>
      </c>
      <c r="C2" s="2" t="s">
        <v>7</v>
      </c>
    </row>
    <row r="3" spans="1:16" x14ac:dyDescent="0.25">
      <c r="A3" t="s">
        <v>1</v>
      </c>
      <c r="B3" s="1" t="s">
        <v>6</v>
      </c>
      <c r="C3" s="2" t="s">
        <v>8</v>
      </c>
    </row>
    <row r="4" spans="1:16" x14ac:dyDescent="0.25">
      <c r="A4" t="s">
        <v>2</v>
      </c>
      <c r="B4" s="1" t="s">
        <v>6</v>
      </c>
      <c r="C4" s="2" t="s">
        <v>9</v>
      </c>
    </row>
    <row r="5" spans="1:16" x14ac:dyDescent="0.25">
      <c r="A5" t="s">
        <v>3</v>
      </c>
      <c r="B5" s="1" t="s">
        <v>6</v>
      </c>
      <c r="C5" s="2">
        <v>6579027</v>
      </c>
    </row>
    <row r="6" spans="1:16" x14ac:dyDescent="0.25">
      <c r="A6" t="s">
        <v>4</v>
      </c>
      <c r="B6" s="1" t="s">
        <v>6</v>
      </c>
      <c r="C6" s="3">
        <v>45819</v>
      </c>
    </row>
    <row r="7" spans="1:16" x14ac:dyDescent="0.25">
      <c r="A7" t="s">
        <v>5</v>
      </c>
      <c r="B7" s="1" t="s">
        <v>6</v>
      </c>
      <c r="C7" s="2" t="s">
        <v>10</v>
      </c>
    </row>
    <row r="12" spans="1:16" x14ac:dyDescent="0.25">
      <c r="C12" s="22" t="s">
        <v>12</v>
      </c>
      <c r="D12" s="22"/>
      <c r="E12" s="22"/>
      <c r="F12" s="22"/>
      <c r="H12" s="22" t="s">
        <v>17</v>
      </c>
      <c r="I12" s="22"/>
      <c r="J12" s="22"/>
      <c r="K12" s="22"/>
      <c r="M12" s="22" t="s">
        <v>18</v>
      </c>
      <c r="N12" s="22"/>
      <c r="O12" s="22"/>
      <c r="P12" s="22"/>
    </row>
    <row r="13" spans="1:16" x14ac:dyDescent="0.25">
      <c r="C13" s="7" t="s">
        <v>13</v>
      </c>
      <c r="D13" s="7" t="s">
        <v>14</v>
      </c>
      <c r="E13" s="7" t="s">
        <v>15</v>
      </c>
      <c r="F13" s="7" t="s">
        <v>16</v>
      </c>
      <c r="H13" s="7" t="s">
        <v>13</v>
      </c>
      <c r="I13" s="7" t="s">
        <v>14</v>
      </c>
      <c r="J13" s="7" t="s">
        <v>15</v>
      </c>
      <c r="K13" s="7" t="s">
        <v>16</v>
      </c>
      <c r="M13" s="7" t="s">
        <v>13</v>
      </c>
      <c r="N13" s="7" t="s">
        <v>14</v>
      </c>
      <c r="O13" s="7" t="s">
        <v>15</v>
      </c>
      <c r="P13" s="7" t="s">
        <v>16</v>
      </c>
    </row>
    <row r="14" spans="1:16" x14ac:dyDescent="0.25">
      <c r="C14" s="8">
        <v>100</v>
      </c>
      <c r="D14" s="9">
        <f>C14-E14</f>
        <v>99.8</v>
      </c>
      <c r="E14" s="7">
        <v>0.2</v>
      </c>
      <c r="F14" s="7">
        <v>0.19</v>
      </c>
      <c r="H14" s="10">
        <v>10</v>
      </c>
      <c r="I14" s="9">
        <f>H14-J14</f>
        <v>10</v>
      </c>
      <c r="J14" s="9">
        <v>0</v>
      </c>
      <c r="K14" s="7">
        <v>7.2999999999999995E-2</v>
      </c>
      <c r="M14" s="8">
        <v>10</v>
      </c>
      <c r="N14" s="9">
        <f>M14-O14</f>
        <v>9.8000000000000007</v>
      </c>
      <c r="O14" s="7">
        <v>0.2</v>
      </c>
      <c r="P14" s="7">
        <v>0.62</v>
      </c>
    </row>
    <row r="15" spans="1:16" x14ac:dyDescent="0.25">
      <c r="C15" s="8">
        <v>110</v>
      </c>
      <c r="D15" s="9">
        <f t="shared" ref="D15:D19" si="0">C15-E15</f>
        <v>109.8</v>
      </c>
      <c r="E15" s="7">
        <v>0.2</v>
      </c>
      <c r="F15" s="7">
        <v>0.19</v>
      </c>
      <c r="H15" s="10">
        <v>50</v>
      </c>
      <c r="I15" s="9">
        <f t="shared" ref="I15:I17" si="1">H15-J15</f>
        <v>50.1</v>
      </c>
      <c r="J15" s="7">
        <v>-0.1</v>
      </c>
      <c r="K15" s="7">
        <v>7.2999999999999995E-2</v>
      </c>
      <c r="M15" s="8">
        <v>50</v>
      </c>
      <c r="N15" s="9">
        <f t="shared" ref="N15:N17" si="2">M15-O15</f>
        <v>49.9</v>
      </c>
      <c r="O15" s="7">
        <v>0.1</v>
      </c>
      <c r="P15" s="7">
        <v>0.62</v>
      </c>
    </row>
    <row r="16" spans="1:16" x14ac:dyDescent="0.25">
      <c r="C16" s="8">
        <v>120</v>
      </c>
      <c r="D16" s="9">
        <f t="shared" si="0"/>
        <v>119.9</v>
      </c>
      <c r="E16" s="7">
        <v>0.1</v>
      </c>
      <c r="F16" s="7">
        <v>0.19</v>
      </c>
      <c r="H16" s="10">
        <v>100</v>
      </c>
      <c r="I16" s="9">
        <f t="shared" si="1"/>
        <v>100.2</v>
      </c>
      <c r="J16" s="7">
        <v>-0.2</v>
      </c>
      <c r="K16" s="7">
        <v>7.2999999999999995E-2</v>
      </c>
      <c r="M16" s="8">
        <v>100</v>
      </c>
      <c r="N16" s="9">
        <f t="shared" si="2"/>
        <v>100</v>
      </c>
      <c r="O16" s="9">
        <v>0</v>
      </c>
      <c r="P16" s="7">
        <v>0.62</v>
      </c>
    </row>
    <row r="17" spans="3:16" x14ac:dyDescent="0.25">
      <c r="C17" s="8">
        <v>200</v>
      </c>
      <c r="D17" s="9">
        <f t="shared" si="0"/>
        <v>199.9</v>
      </c>
      <c r="E17" s="7">
        <v>0.1</v>
      </c>
      <c r="F17" s="7">
        <v>0.19</v>
      </c>
      <c r="H17" s="8">
        <v>500</v>
      </c>
      <c r="I17" s="11">
        <f t="shared" si="1"/>
        <v>501</v>
      </c>
      <c r="J17" s="7">
        <v>-1</v>
      </c>
      <c r="K17" s="7">
        <v>0.57999999999999996</v>
      </c>
      <c r="M17" s="8">
        <v>500</v>
      </c>
      <c r="N17" s="9">
        <f t="shared" si="2"/>
        <v>499</v>
      </c>
      <c r="O17" s="7">
        <v>1</v>
      </c>
      <c r="P17" s="7">
        <v>0.79</v>
      </c>
    </row>
    <row r="18" spans="3:16" x14ac:dyDescent="0.25">
      <c r="C18" s="8">
        <v>220</v>
      </c>
      <c r="D18" s="9">
        <f t="shared" si="0"/>
        <v>219.9</v>
      </c>
      <c r="E18" s="7">
        <v>0.1</v>
      </c>
      <c r="F18" s="7">
        <v>0.19</v>
      </c>
    </row>
    <row r="19" spans="3:16" x14ac:dyDescent="0.25">
      <c r="C19" s="8">
        <v>240</v>
      </c>
      <c r="D19" s="9">
        <f t="shared" si="0"/>
        <v>239.8</v>
      </c>
      <c r="E19" s="7">
        <v>0.2</v>
      </c>
      <c r="F19" s="7">
        <v>0.19</v>
      </c>
    </row>
    <row r="22" spans="3:16" x14ac:dyDescent="0.25">
      <c r="C22" s="22" t="s">
        <v>19</v>
      </c>
      <c r="D22" s="22"/>
      <c r="E22" s="22"/>
      <c r="F22" s="22"/>
      <c r="H22" s="22" t="s">
        <v>20</v>
      </c>
      <c r="I22" s="22"/>
      <c r="J22" s="22"/>
      <c r="K22" s="22"/>
    </row>
    <row r="23" spans="3:16" x14ac:dyDescent="0.25">
      <c r="C23" s="7" t="s">
        <v>13</v>
      </c>
      <c r="D23" s="7" t="s">
        <v>14</v>
      </c>
      <c r="E23" s="7" t="s">
        <v>15</v>
      </c>
      <c r="F23" s="7" t="s">
        <v>16</v>
      </c>
      <c r="H23" s="7" t="s">
        <v>13</v>
      </c>
      <c r="I23" s="7" t="s">
        <v>14</v>
      </c>
      <c r="J23" s="7" t="s">
        <v>15</v>
      </c>
      <c r="K23" s="7" t="s">
        <v>16</v>
      </c>
    </row>
    <row r="24" spans="3:16" x14ac:dyDescent="0.25">
      <c r="C24" s="9">
        <v>0.1</v>
      </c>
      <c r="D24" s="8">
        <f>C24-E24</f>
        <v>0.10800000000000001</v>
      </c>
      <c r="E24" s="8">
        <v>-8.0000000000000002E-3</v>
      </c>
      <c r="F24" s="7">
        <v>2.5000000000000001E-3</v>
      </c>
      <c r="H24" s="12">
        <v>1</v>
      </c>
      <c r="I24" s="8">
        <f>H24-J24</f>
        <v>1</v>
      </c>
      <c r="J24" s="9">
        <v>0</v>
      </c>
      <c r="K24" s="7">
        <v>5.8000000000000003E-2</v>
      </c>
    </row>
    <row r="25" spans="3:16" x14ac:dyDescent="0.25">
      <c r="C25" s="9">
        <v>0.2</v>
      </c>
      <c r="D25" s="8">
        <f t="shared" ref="D25:D27" si="3">C25-E25</f>
        <v>0.20900000000000002</v>
      </c>
      <c r="E25" s="8">
        <v>-8.9999999999999993E-3</v>
      </c>
      <c r="F25" s="7">
        <v>2.5000000000000001E-3</v>
      </c>
      <c r="H25" s="12">
        <v>10</v>
      </c>
      <c r="I25" s="8">
        <f t="shared" ref="I25" si="4">H25-J25</f>
        <v>10</v>
      </c>
      <c r="J25" s="9">
        <v>0</v>
      </c>
      <c r="K25" s="7">
        <v>5.8000000000000003E-2</v>
      </c>
    </row>
    <row r="26" spans="3:16" x14ac:dyDescent="0.25">
      <c r="C26" s="9">
        <v>0.5</v>
      </c>
      <c r="D26" s="8">
        <f t="shared" si="3"/>
        <v>0.50800000000000001</v>
      </c>
      <c r="E26" s="8">
        <v>-8.0000000000000002E-3</v>
      </c>
      <c r="F26" s="7">
        <v>2.5000000000000001E-3</v>
      </c>
    </row>
    <row r="27" spans="3:16" x14ac:dyDescent="0.25">
      <c r="C27" s="9">
        <v>1</v>
      </c>
      <c r="D27" s="8">
        <f t="shared" si="3"/>
        <v>1.008</v>
      </c>
      <c r="E27" s="8">
        <v>-8.0000000000000002E-3</v>
      </c>
      <c r="F27" s="7">
        <v>2.7000000000000001E-3</v>
      </c>
    </row>
    <row r="28" spans="3:16" x14ac:dyDescent="0.25">
      <c r="C28" s="4"/>
    </row>
    <row r="29" spans="3:16" x14ac:dyDescent="0.25">
      <c r="C29" s="4"/>
    </row>
    <row r="30" spans="3:16" x14ac:dyDescent="0.25">
      <c r="C30" s="19" t="s">
        <v>12</v>
      </c>
      <c r="M30" s="19" t="s">
        <v>17</v>
      </c>
    </row>
    <row r="31" spans="3:16" x14ac:dyDescent="0.25">
      <c r="C31" t="s">
        <v>21</v>
      </c>
      <c r="M31" t="s">
        <v>21</v>
      </c>
    </row>
    <row r="32" spans="3:16" ht="15.75" thickBot="1" x14ac:dyDescent="0.3"/>
    <row r="33" spans="3:21" x14ac:dyDescent="0.25">
      <c r="C33" s="16" t="s">
        <v>22</v>
      </c>
      <c r="D33" s="16"/>
      <c r="M33" s="16" t="s">
        <v>22</v>
      </c>
      <c r="N33" s="16"/>
    </row>
    <row r="34" spans="3:21" x14ac:dyDescent="0.25">
      <c r="C34" s="13" t="s">
        <v>23</v>
      </c>
      <c r="D34" s="13">
        <v>0.99999963613574905</v>
      </c>
      <c r="M34" s="13" t="s">
        <v>23</v>
      </c>
      <c r="N34" s="13">
        <v>0.99999999923058214</v>
      </c>
    </row>
    <row r="35" spans="3:21" x14ac:dyDescent="0.25">
      <c r="C35" s="13" t="s">
        <v>24</v>
      </c>
      <c r="D35" s="13">
        <v>0.99999927227163055</v>
      </c>
      <c r="M35" s="13" t="s">
        <v>24</v>
      </c>
      <c r="N35" s="13">
        <v>0.99999999846116439</v>
      </c>
    </row>
    <row r="36" spans="3:21" x14ac:dyDescent="0.25">
      <c r="C36" s="13" t="s">
        <v>25</v>
      </c>
      <c r="D36" s="13">
        <v>0.99999909033953815</v>
      </c>
      <c r="M36" s="13" t="s">
        <v>25</v>
      </c>
      <c r="N36" s="13">
        <v>0.99999999769174663</v>
      </c>
    </row>
    <row r="37" spans="3:21" x14ac:dyDescent="0.25">
      <c r="C37" s="13" t="s">
        <v>26</v>
      </c>
      <c r="D37" s="13">
        <v>5.9025414601432055E-2</v>
      </c>
      <c r="M37" s="13" t="s">
        <v>26</v>
      </c>
      <c r="N37" s="13">
        <v>1.0874718831858306E-2</v>
      </c>
    </row>
    <row r="38" spans="3:21" ht="15.75" thickBot="1" x14ac:dyDescent="0.3">
      <c r="C38" s="14" t="s">
        <v>27</v>
      </c>
      <c r="D38" s="14">
        <v>6</v>
      </c>
      <c r="M38" s="14" t="s">
        <v>27</v>
      </c>
      <c r="N38" s="14">
        <v>4</v>
      </c>
    </row>
    <row r="40" spans="3:21" ht="15.75" thickBot="1" x14ac:dyDescent="0.3">
      <c r="C40" t="s">
        <v>28</v>
      </c>
      <c r="M40" t="s">
        <v>28</v>
      </c>
    </row>
    <row r="41" spans="3:21" x14ac:dyDescent="0.25">
      <c r="C41" s="15"/>
      <c r="D41" s="15" t="s">
        <v>33</v>
      </c>
      <c r="E41" s="15" t="s">
        <v>34</v>
      </c>
      <c r="F41" s="15" t="s">
        <v>35</v>
      </c>
      <c r="G41" s="15" t="s">
        <v>36</v>
      </c>
      <c r="H41" s="15" t="s">
        <v>37</v>
      </c>
      <c r="M41" s="15"/>
      <c r="N41" s="15" t="s">
        <v>33</v>
      </c>
      <c r="O41" s="15" t="s">
        <v>34</v>
      </c>
      <c r="P41" s="15" t="s">
        <v>35</v>
      </c>
      <c r="Q41" s="15" t="s">
        <v>36</v>
      </c>
      <c r="R41" s="15" t="s">
        <v>37</v>
      </c>
    </row>
    <row r="42" spans="3:21" x14ac:dyDescent="0.25">
      <c r="C42" s="13" t="s">
        <v>29</v>
      </c>
      <c r="D42" s="13">
        <v>1</v>
      </c>
      <c r="E42" s="13">
        <v>19149.986064001725</v>
      </c>
      <c r="F42" s="13">
        <v>19149.986064001725</v>
      </c>
      <c r="G42" s="13">
        <v>5496552.3632965367</v>
      </c>
      <c r="H42" s="13">
        <v>1.9859576557769731E-13</v>
      </c>
      <c r="M42" s="13" t="s">
        <v>29</v>
      </c>
      <c r="N42" s="13">
        <v>1</v>
      </c>
      <c r="O42" s="13">
        <v>153699.99976348097</v>
      </c>
      <c r="P42" s="13">
        <v>153699.99976348097</v>
      </c>
      <c r="Q42" s="13">
        <v>1299684060.8405325</v>
      </c>
      <c r="R42" s="13">
        <v>7.6941776003558331E-10</v>
      </c>
    </row>
    <row r="43" spans="3:21" x14ac:dyDescent="0.25">
      <c r="C43" s="13" t="s">
        <v>30</v>
      </c>
      <c r="D43" s="13">
        <v>4</v>
      </c>
      <c r="E43" s="13">
        <v>1.3935998275483794E-2</v>
      </c>
      <c r="F43" s="13">
        <v>3.4839995688709484E-3</v>
      </c>
      <c r="G43" s="13"/>
      <c r="H43" s="13"/>
      <c r="M43" s="13" t="s">
        <v>30</v>
      </c>
      <c r="N43" s="13">
        <v>2</v>
      </c>
      <c r="O43" s="13">
        <v>2.3651901934394735E-4</v>
      </c>
      <c r="P43" s="13">
        <v>1.1825950967197367E-4</v>
      </c>
      <c r="Q43" s="13"/>
      <c r="R43" s="13"/>
    </row>
    <row r="44" spans="3:21" ht="15.75" thickBot="1" x14ac:dyDescent="0.3">
      <c r="C44" s="14" t="s">
        <v>31</v>
      </c>
      <c r="D44" s="14">
        <v>5</v>
      </c>
      <c r="E44" s="14">
        <v>19150</v>
      </c>
      <c r="F44" s="14"/>
      <c r="G44" s="14"/>
      <c r="H44" s="14"/>
      <c r="M44" s="14" t="s">
        <v>31</v>
      </c>
      <c r="N44" s="14">
        <v>3</v>
      </c>
      <c r="O44" s="14">
        <v>153700</v>
      </c>
      <c r="P44" s="14"/>
      <c r="Q44" s="14"/>
      <c r="R44" s="14"/>
    </row>
    <row r="45" spans="3:21" ht="15.75" thickBot="1" x14ac:dyDescent="0.3"/>
    <row r="46" spans="3:21" x14ac:dyDescent="0.25">
      <c r="C46" s="15"/>
      <c r="D46" s="15" t="s">
        <v>38</v>
      </c>
      <c r="E46" s="15" t="s">
        <v>26</v>
      </c>
      <c r="F46" s="15" t="s">
        <v>39</v>
      </c>
      <c r="G46" s="15" t="s">
        <v>40</v>
      </c>
      <c r="H46" s="15" t="s">
        <v>41</v>
      </c>
      <c r="I46" s="15" t="s">
        <v>42</v>
      </c>
      <c r="J46" s="15" t="s">
        <v>43</v>
      </c>
      <c r="K46" s="15" t="s">
        <v>44</v>
      </c>
      <c r="M46" s="15"/>
      <c r="N46" s="15" t="s">
        <v>38</v>
      </c>
      <c r="O46" s="15" t="s">
        <v>26</v>
      </c>
      <c r="P46" s="15" t="s">
        <v>39</v>
      </c>
      <c r="Q46" s="15" t="s">
        <v>40</v>
      </c>
      <c r="R46" s="15" t="s">
        <v>41</v>
      </c>
      <c r="S46" s="15" t="s">
        <v>42</v>
      </c>
      <c r="T46" s="15" t="s">
        <v>43</v>
      </c>
      <c r="U46" s="15" t="s">
        <v>44</v>
      </c>
    </row>
    <row r="47" spans="3:21" x14ac:dyDescent="0.25">
      <c r="C47" s="13" t="s">
        <v>32</v>
      </c>
      <c r="D47" s="17">
        <v>0.18884843505782101</v>
      </c>
      <c r="E47" s="13">
        <v>7.4313120572366942E-2</v>
      </c>
      <c r="F47" s="13">
        <v>2.541252925503489</v>
      </c>
      <c r="G47" s="13">
        <v>6.3895823869971488E-2</v>
      </c>
      <c r="H47" s="13">
        <v>-1.7477864807300625E-2</v>
      </c>
      <c r="I47" s="13">
        <v>0.39517473492294264</v>
      </c>
      <c r="J47" s="13">
        <v>-1.7477864807300625E-2</v>
      </c>
      <c r="K47" s="13">
        <v>0.39517473492294264</v>
      </c>
      <c r="M47" s="13" t="s">
        <v>32</v>
      </c>
      <c r="N47" s="17">
        <v>8.3113755394208511E-3</v>
      </c>
      <c r="O47" s="13">
        <v>7.1070504211453757E-3</v>
      </c>
      <c r="P47" s="13">
        <v>1.1694549844042594</v>
      </c>
      <c r="Q47" s="13">
        <v>0.36273267771763018</v>
      </c>
      <c r="R47" s="13">
        <v>-2.2267794355587376E-2</v>
      </c>
      <c r="S47" s="13">
        <v>3.8890545434429075E-2</v>
      </c>
      <c r="T47" s="13">
        <v>-2.2267794355587376E-2</v>
      </c>
      <c r="U47" s="13">
        <v>3.8890545434429075E-2</v>
      </c>
    </row>
    <row r="48" spans="3:21" ht="15.75" thickBot="1" x14ac:dyDescent="0.3">
      <c r="C48" s="14" t="s">
        <v>45</v>
      </c>
      <c r="D48" s="18">
        <v>0.99976434070331921</v>
      </c>
      <c r="E48" s="14">
        <v>4.2643462198780095E-4</v>
      </c>
      <c r="F48" s="14">
        <v>2344.4727260722266</v>
      </c>
      <c r="G48" s="14">
        <v>1.9859576557769731E-13</v>
      </c>
      <c r="H48" s="14">
        <v>0.99858036838441433</v>
      </c>
      <c r="I48" s="14">
        <v>1.0009483130222241</v>
      </c>
      <c r="J48" s="14">
        <v>0.99858036838441433</v>
      </c>
      <c r="K48" s="14">
        <v>1.0009483130222241</v>
      </c>
      <c r="M48" s="14" t="s">
        <v>45</v>
      </c>
      <c r="N48" s="18">
        <v>0.99798390215914468</v>
      </c>
      <c r="O48" s="14">
        <v>2.7682457357771745E-5</v>
      </c>
      <c r="P48" s="14">
        <v>36051.131200567514</v>
      </c>
      <c r="Q48" s="14">
        <v>7.6941776003558331E-10</v>
      </c>
      <c r="R48" s="14">
        <v>0.9978647941584281</v>
      </c>
      <c r="S48" s="14">
        <v>0.99810301015986125</v>
      </c>
      <c r="T48" s="14">
        <v>0.9978647941584281</v>
      </c>
      <c r="U48" s="14">
        <v>0.99810301015986125</v>
      </c>
    </row>
    <row r="50" spans="3:18" x14ac:dyDescent="0.25">
      <c r="C50" s="19" t="s">
        <v>46</v>
      </c>
      <c r="D50" s="19"/>
      <c r="E50" s="19"/>
    </row>
    <row r="51" spans="3:18" x14ac:dyDescent="0.25">
      <c r="C51" t="s">
        <v>21</v>
      </c>
      <c r="M51" s="19" t="s">
        <v>18</v>
      </c>
    </row>
    <row r="52" spans="3:18" ht="15.75" thickBot="1" x14ac:dyDescent="0.3">
      <c r="M52" t="s">
        <v>21</v>
      </c>
    </row>
    <row r="53" spans="3:18" ht="15.75" thickBot="1" x14ac:dyDescent="0.3">
      <c r="C53" s="16" t="s">
        <v>22</v>
      </c>
      <c r="D53" s="16"/>
    </row>
    <row r="54" spans="3:18" x14ac:dyDescent="0.25">
      <c r="C54" s="13" t="s">
        <v>23</v>
      </c>
      <c r="D54" s="13">
        <v>0.9999993641999757</v>
      </c>
      <c r="M54" s="16" t="s">
        <v>22</v>
      </c>
      <c r="N54" s="16"/>
    </row>
    <row r="55" spans="3:18" x14ac:dyDescent="0.25">
      <c r="C55" s="13" t="s">
        <v>24</v>
      </c>
      <c r="D55" s="13">
        <v>0.99999872840035575</v>
      </c>
      <c r="M55" s="13" t="s">
        <v>23</v>
      </c>
      <c r="N55" s="13">
        <v>0.99999976862070794</v>
      </c>
    </row>
    <row r="56" spans="3:18" x14ac:dyDescent="0.25">
      <c r="C56" s="13" t="s">
        <v>25</v>
      </c>
      <c r="D56" s="13">
        <v>0.99999809260053363</v>
      </c>
      <c r="M56" s="13" t="s">
        <v>24</v>
      </c>
      <c r="N56" s="13">
        <v>0.9999995372414695</v>
      </c>
    </row>
    <row r="57" spans="3:18" x14ac:dyDescent="0.25">
      <c r="C57" s="13" t="s">
        <v>26</v>
      </c>
      <c r="D57" s="13">
        <v>5.5815939735635032E-4</v>
      </c>
      <c r="M57" s="13" t="s">
        <v>25</v>
      </c>
      <c r="N57" s="13">
        <v>0.99999930586220431</v>
      </c>
    </row>
    <row r="58" spans="3:18" ht="15.75" thickBot="1" x14ac:dyDescent="0.3">
      <c r="C58" s="14" t="s">
        <v>27</v>
      </c>
      <c r="D58" s="14">
        <v>4</v>
      </c>
      <c r="M58" s="13" t="s">
        <v>26</v>
      </c>
      <c r="N58" s="13">
        <v>0.18858152897888569</v>
      </c>
    </row>
    <row r="59" spans="3:18" ht="15.75" thickBot="1" x14ac:dyDescent="0.3">
      <c r="M59" s="14" t="s">
        <v>27</v>
      </c>
      <c r="N59" s="14">
        <v>4</v>
      </c>
    </row>
    <row r="60" spans="3:18" ht="15.75" thickBot="1" x14ac:dyDescent="0.3">
      <c r="C60" t="s">
        <v>28</v>
      </c>
    </row>
    <row r="61" spans="3:18" ht="15.75" thickBot="1" x14ac:dyDescent="0.3">
      <c r="C61" s="15"/>
      <c r="D61" s="15" t="s">
        <v>33</v>
      </c>
      <c r="E61" s="15" t="s">
        <v>34</v>
      </c>
      <c r="F61" s="15" t="s">
        <v>35</v>
      </c>
      <c r="G61" s="15" t="s">
        <v>36</v>
      </c>
      <c r="H61" s="15" t="s">
        <v>37</v>
      </c>
      <c r="M61" t="s">
        <v>28</v>
      </c>
    </row>
    <row r="62" spans="3:18" x14ac:dyDescent="0.25">
      <c r="C62" s="13" t="s">
        <v>29</v>
      </c>
      <c r="D62" s="13">
        <v>1</v>
      </c>
      <c r="E62" s="13">
        <v>0.48999937691617435</v>
      </c>
      <c r="F62" s="13">
        <v>0.48999937691617435</v>
      </c>
      <c r="G62" s="13">
        <v>1572820.0819668409</v>
      </c>
      <c r="H62" s="13">
        <v>6.3580002427839495E-7</v>
      </c>
      <c r="M62" s="15"/>
      <c r="N62" s="15" t="s">
        <v>33</v>
      </c>
      <c r="O62" s="15" t="s">
        <v>34</v>
      </c>
      <c r="P62" s="15" t="s">
        <v>35</v>
      </c>
      <c r="Q62" s="15" t="s">
        <v>36</v>
      </c>
      <c r="R62" s="15" t="s">
        <v>37</v>
      </c>
    </row>
    <row r="63" spans="3:18" x14ac:dyDescent="0.25">
      <c r="C63" s="13" t="s">
        <v>30</v>
      </c>
      <c r="D63" s="13">
        <v>2</v>
      </c>
      <c r="E63" s="13">
        <v>6.2308382571440844E-7</v>
      </c>
      <c r="F63" s="13">
        <v>3.1154191285720422E-7</v>
      </c>
      <c r="G63" s="13"/>
      <c r="H63" s="13"/>
      <c r="M63" s="13" t="s">
        <v>29</v>
      </c>
      <c r="N63" s="13">
        <v>1</v>
      </c>
      <c r="O63" s="13">
        <v>153699.92887401386</v>
      </c>
      <c r="P63" s="13">
        <v>153699.92887401386</v>
      </c>
      <c r="Q63" s="13">
        <v>4321906.4425419644</v>
      </c>
      <c r="R63" s="13">
        <v>2.3137929203828795E-7</v>
      </c>
    </row>
    <row r="64" spans="3:18" ht="15.75" thickBot="1" x14ac:dyDescent="0.3">
      <c r="C64" s="14" t="s">
        <v>31</v>
      </c>
      <c r="D64" s="14">
        <v>3</v>
      </c>
      <c r="E64" s="14">
        <v>0.49000000000000005</v>
      </c>
      <c r="F64" s="14"/>
      <c r="G64" s="14"/>
      <c r="H64" s="14"/>
      <c r="M64" s="13" t="s">
        <v>30</v>
      </c>
      <c r="N64" s="13">
        <v>2</v>
      </c>
      <c r="O64" s="13">
        <v>7.1125986144028611E-2</v>
      </c>
      <c r="P64" s="13">
        <v>3.5562993072014305E-2</v>
      </c>
      <c r="Q64" s="13"/>
      <c r="R64" s="13"/>
    </row>
    <row r="65" spans="3:21" ht="15.75" thickBot="1" x14ac:dyDescent="0.3">
      <c r="M65" s="14" t="s">
        <v>31</v>
      </c>
      <c r="N65" s="14">
        <v>3</v>
      </c>
      <c r="O65" s="14">
        <v>153700</v>
      </c>
      <c r="P65" s="14"/>
      <c r="Q65" s="14"/>
      <c r="R65" s="14"/>
    </row>
    <row r="66" spans="3:21" ht="15.75" thickBot="1" x14ac:dyDescent="0.3">
      <c r="C66" s="15"/>
      <c r="D66" s="15" t="s">
        <v>38</v>
      </c>
      <c r="E66" s="15" t="s">
        <v>26</v>
      </c>
      <c r="F66" s="15" t="s">
        <v>39</v>
      </c>
      <c r="G66" s="15" t="s">
        <v>40</v>
      </c>
      <c r="H66" s="15" t="s">
        <v>41</v>
      </c>
      <c r="I66" s="15" t="s">
        <v>42</v>
      </c>
      <c r="J66" s="15" t="s">
        <v>43</v>
      </c>
      <c r="K66" s="15" t="s">
        <v>44</v>
      </c>
    </row>
    <row r="67" spans="3:21" x14ac:dyDescent="0.25">
      <c r="C67" s="13" t="s">
        <v>32</v>
      </c>
      <c r="D67" s="17">
        <v>-8.4833373595444295E-3</v>
      </c>
      <c r="E67" s="13">
        <v>4.5992956277033471E-4</v>
      </c>
      <c r="F67" s="13">
        <v>-18.444862096808883</v>
      </c>
      <c r="G67" s="13">
        <v>2.926439223150527E-3</v>
      </c>
      <c r="H67" s="13">
        <v>-1.0462254548290688E-2</v>
      </c>
      <c r="I67" s="13">
        <v>-6.5044201707981711E-3</v>
      </c>
      <c r="J67" s="13">
        <v>-1.0462254548290688E-2</v>
      </c>
      <c r="K67" s="13">
        <v>-6.5044201707981711E-3</v>
      </c>
      <c r="M67" s="15"/>
      <c r="N67" s="15" t="s">
        <v>38</v>
      </c>
      <c r="O67" s="15" t="s">
        <v>26</v>
      </c>
      <c r="P67" s="15" t="s">
        <v>39</v>
      </c>
      <c r="Q67" s="15" t="s">
        <v>40</v>
      </c>
      <c r="R67" s="15" t="s">
        <v>41</v>
      </c>
      <c r="S67" s="15" t="s">
        <v>42</v>
      </c>
      <c r="T67" s="15" t="s">
        <v>43</v>
      </c>
      <c r="U67" s="15" t="s">
        <v>44</v>
      </c>
    </row>
    <row r="68" spans="3:21" ht="15.75" thickBot="1" x14ac:dyDescent="0.3">
      <c r="C68" s="14" t="s">
        <v>45</v>
      </c>
      <c r="D68" s="18">
        <v>1.0005091922739648</v>
      </c>
      <c r="E68" s="14">
        <v>7.9777708981115759E-4</v>
      </c>
      <c r="F68" s="14">
        <v>1254.1212389425675</v>
      </c>
      <c r="G68" s="14">
        <v>6.3580002427839516E-7</v>
      </c>
      <c r="H68" s="14">
        <v>0.99707663450075723</v>
      </c>
      <c r="I68" s="14">
        <v>1.0039417500471723</v>
      </c>
      <c r="J68" s="14">
        <v>0.99707663450075723</v>
      </c>
      <c r="K68" s="14">
        <v>1.0039417500471723</v>
      </c>
      <c r="M68" s="13" t="s">
        <v>32</v>
      </c>
      <c r="N68" s="17">
        <v>1.109276060012121E-2</v>
      </c>
      <c r="O68" s="13">
        <v>0.12324449163607429</v>
      </c>
      <c r="P68" s="13">
        <v>9.0006137011597709E-2</v>
      </c>
      <c r="Q68" s="13">
        <v>0.93648455648630158</v>
      </c>
      <c r="R68" s="13">
        <v>-0.51918548776441875</v>
      </c>
      <c r="S68" s="13">
        <v>0.54137100896466117</v>
      </c>
      <c r="T68" s="13">
        <v>-0.51918548776441875</v>
      </c>
      <c r="U68" s="13">
        <v>0.54137100896466117</v>
      </c>
    </row>
    <row r="69" spans="3:21" ht="15.75" thickBot="1" x14ac:dyDescent="0.3">
      <c r="M69" s="14" t="s">
        <v>45</v>
      </c>
      <c r="N69" s="18">
        <v>1.0019062227988453</v>
      </c>
      <c r="O69" s="14">
        <v>4.8193602726108838E-4</v>
      </c>
      <c r="P69" s="14">
        <v>2078.9195372938234</v>
      </c>
      <c r="Q69" s="14">
        <v>2.3137929203828795E-7</v>
      </c>
      <c r="R69" s="14">
        <v>0.99983261943558577</v>
      </c>
      <c r="S69" s="14">
        <v>1.0039798261621049</v>
      </c>
      <c r="T69" s="14">
        <v>0.99983261943558577</v>
      </c>
      <c r="U69" s="14">
        <v>1.0039798261621049</v>
      </c>
    </row>
    <row r="70" spans="3:21" x14ac:dyDescent="0.25">
      <c r="C70" s="19" t="s">
        <v>47</v>
      </c>
      <c r="D70" s="19"/>
    </row>
    <row r="71" spans="3:21" x14ac:dyDescent="0.25">
      <c r="C71" t="s">
        <v>21</v>
      </c>
    </row>
    <row r="72" spans="3:21" ht="15.75" thickBot="1" x14ac:dyDescent="0.3">
      <c r="O72" s="6"/>
    </row>
    <row r="73" spans="3:21" x14ac:dyDescent="0.25">
      <c r="C73" s="16" t="s">
        <v>22</v>
      </c>
      <c r="D73" s="16"/>
      <c r="O73" s="6"/>
    </row>
    <row r="74" spans="3:21" x14ac:dyDescent="0.25">
      <c r="C74" s="13" t="s">
        <v>23</v>
      </c>
      <c r="D74" s="13">
        <v>1</v>
      </c>
    </row>
    <row r="75" spans="3:21" x14ac:dyDescent="0.25">
      <c r="C75" s="13" t="s">
        <v>24</v>
      </c>
      <c r="D75" s="13">
        <v>1</v>
      </c>
    </row>
    <row r="76" spans="3:21" x14ac:dyDescent="0.25">
      <c r="C76" s="13" t="s">
        <v>25</v>
      </c>
      <c r="D76" s="13">
        <v>65535</v>
      </c>
    </row>
    <row r="77" spans="3:21" x14ac:dyDescent="0.25">
      <c r="C77" s="13" t="s">
        <v>26</v>
      </c>
      <c r="D77" s="13">
        <v>0</v>
      </c>
    </row>
    <row r="78" spans="3:21" ht="15.75" thickBot="1" x14ac:dyDescent="0.3">
      <c r="C78" s="14" t="s">
        <v>27</v>
      </c>
      <c r="D78" s="14">
        <v>2</v>
      </c>
    </row>
    <row r="80" spans="3:21" ht="15.75" thickBot="1" x14ac:dyDescent="0.3">
      <c r="C80" t="s">
        <v>28</v>
      </c>
    </row>
    <row r="81" spans="3:11" x14ac:dyDescent="0.25">
      <c r="C81" s="15"/>
      <c r="D81" s="15" t="s">
        <v>33</v>
      </c>
      <c r="E81" s="15" t="s">
        <v>34</v>
      </c>
      <c r="F81" s="15" t="s">
        <v>35</v>
      </c>
      <c r="G81" s="15" t="s">
        <v>36</v>
      </c>
      <c r="H81" s="15" t="s">
        <v>37</v>
      </c>
    </row>
    <row r="82" spans="3:11" x14ac:dyDescent="0.25">
      <c r="C82" s="13" t="s">
        <v>29</v>
      </c>
      <c r="D82" s="13">
        <v>1</v>
      </c>
      <c r="E82" s="13">
        <v>40.5</v>
      </c>
      <c r="F82" s="13">
        <v>40.5</v>
      </c>
      <c r="G82" s="13" t="e">
        <v>#NUM!</v>
      </c>
      <c r="H82" s="13" t="e">
        <v>#NUM!</v>
      </c>
    </row>
    <row r="83" spans="3:11" x14ac:dyDescent="0.25">
      <c r="C83" s="13" t="s">
        <v>30</v>
      </c>
      <c r="D83" s="13">
        <v>0</v>
      </c>
      <c r="E83" s="13">
        <v>0</v>
      </c>
      <c r="F83" s="13">
        <v>65535</v>
      </c>
      <c r="G83" s="13"/>
      <c r="H83" s="13"/>
    </row>
    <row r="84" spans="3:11" ht="15.75" thickBot="1" x14ac:dyDescent="0.3">
      <c r="C84" s="14" t="s">
        <v>31</v>
      </c>
      <c r="D84" s="14">
        <v>1</v>
      </c>
      <c r="E84" s="14">
        <v>40.5</v>
      </c>
      <c r="F84" s="14"/>
      <c r="G84" s="14"/>
      <c r="H84" s="14"/>
    </row>
    <row r="85" spans="3:11" ht="15.75" thickBot="1" x14ac:dyDescent="0.3"/>
    <row r="86" spans="3:11" x14ac:dyDescent="0.25">
      <c r="C86" s="15"/>
      <c r="D86" s="15" t="s">
        <v>38</v>
      </c>
      <c r="E86" s="15" t="s">
        <v>26</v>
      </c>
      <c r="F86" s="15" t="s">
        <v>39</v>
      </c>
      <c r="G86" s="15" t="s">
        <v>40</v>
      </c>
      <c r="H86" s="15" t="s">
        <v>41</v>
      </c>
      <c r="I86" s="15" t="s">
        <v>42</v>
      </c>
      <c r="J86" s="15" t="s">
        <v>43</v>
      </c>
      <c r="K86" s="15" t="s">
        <v>44</v>
      </c>
    </row>
    <row r="87" spans="3:11" x14ac:dyDescent="0.25">
      <c r="C87" s="13" t="s">
        <v>32</v>
      </c>
      <c r="D87" s="17">
        <v>0</v>
      </c>
      <c r="E87" s="13">
        <v>0</v>
      </c>
      <c r="F87" s="13">
        <v>65535</v>
      </c>
      <c r="G87" s="13" t="e">
        <v>#NUM!</v>
      </c>
      <c r="H87" s="13">
        <v>0</v>
      </c>
      <c r="I87" s="13">
        <v>0</v>
      </c>
      <c r="J87" s="13">
        <v>0</v>
      </c>
      <c r="K87" s="13">
        <v>0</v>
      </c>
    </row>
    <row r="88" spans="3:11" ht="15.75" thickBot="1" x14ac:dyDescent="0.3">
      <c r="C88" s="14" t="s">
        <v>45</v>
      </c>
      <c r="D88" s="18">
        <v>1</v>
      </c>
      <c r="E88" s="14">
        <v>0</v>
      </c>
      <c r="F88" s="14">
        <v>65535</v>
      </c>
      <c r="G88" s="14" t="e">
        <v>#NUM!</v>
      </c>
      <c r="H88" s="14">
        <v>1</v>
      </c>
      <c r="I88" s="14">
        <v>1</v>
      </c>
      <c r="J88" s="14">
        <v>1</v>
      </c>
      <c r="K88" s="14">
        <v>1</v>
      </c>
    </row>
    <row r="91" spans="3:11" x14ac:dyDescent="0.25">
      <c r="E91" s="5"/>
    </row>
  </sheetData>
  <mergeCells count="5">
    <mergeCell ref="C12:F12"/>
    <mergeCell ref="H12:K12"/>
    <mergeCell ref="M12:P12"/>
    <mergeCell ref="C22:F22"/>
    <mergeCell ref="H22:K2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ARRAY</vt:lpstr>
      <vt:lpstr>Regresi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2025-07-02T02:12:53Z</dcterms:created>
  <dcterms:modified xsi:type="dcterms:W3CDTF">2025-07-03T09:13:47Z</dcterms:modified>
</cp:coreProperties>
</file>