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Z:\excel untuk pa deden\"/>
    </mc:Choice>
  </mc:AlternateContent>
  <xr:revisionPtr revIDLastSave="0" documentId="13_ncr:1_{AB63F52E-7CCC-4AA5-92BB-03BBFEE13169}" xr6:coauthVersionLast="45" xr6:coauthVersionMax="45" xr10:uidLastSave="{00000000-0000-0000-0000-000000000000}"/>
  <bookViews>
    <workbookView xWindow="-120" yWindow="-120" windowWidth="29040" windowHeight="15840" xr2:uid="{03D77724-13A2-46D1-AE80-2A759B416016}"/>
  </bookViews>
  <sheets>
    <sheet name="input data" sheetId="2" r:id="rId1"/>
    <sheet name="skorsing" sheetId="3" r:id="rId2"/>
    <sheet name="standar" sheetId="7" r:id="rId3"/>
    <sheet name="budget" sheetId="1" r:id="rId4"/>
    <sheet name="Laporan" sheetId="4" r:id="rId5"/>
    <sheet name="Cover" sheetId="5" r:id="rId6"/>
    <sheet name="Laporan Print" sheetId="6" r:id="rId7"/>
  </sheets>
  <externalReferences>
    <externalReference r:id="rId8"/>
    <externalReference r:id="rId9"/>
    <externalReference r:id="rId10"/>
    <externalReference r:id="rId11"/>
    <externalReference r:id="rId12"/>
  </externalReferences>
  <definedNames>
    <definedName name="_xlnm.Print_Area" localSheetId="5">Cover!$A$1:$S$44</definedName>
    <definedName name="_xlnm.Print_Area" localSheetId="6">'Laporan Print'!$A$1:$S$138</definedName>
    <definedName name="_xlnm.Print_Titles" localSheetId="5">Cover!$1:$9</definedName>
    <definedName name="_xlnm.Print_Titles" localSheetId="6">'Laporan Print'!$1:$9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7" i="1" l="1"/>
  <c r="K24" i="6" l="1"/>
  <c r="H23" i="5"/>
  <c r="B70" i="3" l="1"/>
  <c r="C65" i="6"/>
  <c r="C66" i="6"/>
  <c r="C67" i="6"/>
  <c r="C24" i="4" l="1"/>
  <c r="C46" i="4"/>
  <c r="E46" i="4"/>
  <c r="C48" i="4"/>
  <c r="E48" i="4"/>
  <c r="C50" i="4"/>
  <c r="E50" i="4"/>
  <c r="W18" i="3" l="1"/>
  <c r="W19" i="3"/>
  <c r="W20" i="3"/>
  <c r="W17" i="3"/>
  <c r="O47" i="3" l="1"/>
  <c r="P47" i="3"/>
  <c r="Q47" i="3"/>
  <c r="R47" i="3"/>
  <c r="S47" i="3"/>
  <c r="T47" i="3"/>
  <c r="U47" i="3"/>
  <c r="V47" i="3"/>
  <c r="W47" i="3"/>
  <c r="X47" i="3"/>
  <c r="Y47" i="3"/>
  <c r="Z47" i="3"/>
  <c r="AA47" i="3"/>
  <c r="AB47" i="3"/>
  <c r="AC47" i="3"/>
  <c r="AD47" i="3"/>
  <c r="AE47" i="3"/>
  <c r="N47" i="3"/>
  <c r="G65" i="1" l="1"/>
  <c r="T65" i="1"/>
  <c r="G53" i="1"/>
  <c r="T53" i="1"/>
  <c r="T41" i="1"/>
  <c r="G41" i="1"/>
  <c r="T29" i="1"/>
  <c r="T17" i="1"/>
  <c r="T5" i="1"/>
  <c r="G29" i="1"/>
  <c r="G17" i="1"/>
  <c r="G5" i="1"/>
  <c r="T68" i="1"/>
  <c r="S68" i="1"/>
  <c r="T67" i="1"/>
  <c r="S67" i="1"/>
  <c r="R67" i="1"/>
  <c r="T66" i="1"/>
  <c r="T56" i="1"/>
  <c r="S56" i="1"/>
  <c r="T55" i="1"/>
  <c r="S55" i="1"/>
  <c r="R55" i="1"/>
  <c r="U55" i="1" s="1"/>
  <c r="W55" i="1" s="1"/>
  <c r="T54" i="1"/>
  <c r="T44" i="1"/>
  <c r="S44" i="1"/>
  <c r="T43" i="1"/>
  <c r="S43" i="1"/>
  <c r="R43" i="1"/>
  <c r="U43" i="1" s="1"/>
  <c r="W43" i="1" s="1"/>
  <c r="T42" i="1"/>
  <c r="T32" i="1"/>
  <c r="S32" i="1"/>
  <c r="T31" i="1"/>
  <c r="S31" i="1"/>
  <c r="R31" i="1"/>
  <c r="U31" i="1" s="1"/>
  <c r="W31" i="1" s="1"/>
  <c r="T30" i="1"/>
  <c r="T20" i="1"/>
  <c r="S20" i="1"/>
  <c r="T19" i="1"/>
  <c r="S19" i="1"/>
  <c r="R19" i="1"/>
  <c r="T18" i="1"/>
  <c r="T8" i="1"/>
  <c r="S8" i="1"/>
  <c r="T7" i="1"/>
  <c r="S7" i="1"/>
  <c r="R7" i="1"/>
  <c r="U7" i="1" s="1"/>
  <c r="W7" i="1" s="1"/>
  <c r="T6" i="1"/>
  <c r="G68" i="1"/>
  <c r="F68" i="1"/>
  <c r="G67" i="1"/>
  <c r="F67" i="1"/>
  <c r="E67" i="1"/>
  <c r="H67" i="1" s="1"/>
  <c r="J67" i="1" s="1"/>
  <c r="G66" i="1"/>
  <c r="G56" i="1"/>
  <c r="F56" i="1"/>
  <c r="G55" i="1"/>
  <c r="F55" i="1"/>
  <c r="E55" i="1"/>
  <c r="H55" i="1" s="1"/>
  <c r="J55" i="1" s="1"/>
  <c r="G54" i="1"/>
  <c r="G44" i="1"/>
  <c r="F44" i="1"/>
  <c r="G43" i="1"/>
  <c r="F43" i="1"/>
  <c r="E43" i="1"/>
  <c r="G42" i="1"/>
  <c r="G32" i="1"/>
  <c r="F32" i="1"/>
  <c r="G31" i="1"/>
  <c r="F31" i="1"/>
  <c r="E31" i="1"/>
  <c r="H31" i="1" s="1"/>
  <c r="J31" i="1" s="1"/>
  <c r="G30" i="1"/>
  <c r="G20" i="1"/>
  <c r="F20" i="1"/>
  <c r="G19" i="1"/>
  <c r="F19" i="1"/>
  <c r="E19" i="1"/>
  <c r="H19" i="1" s="1"/>
  <c r="J19" i="1" s="1"/>
  <c r="G18" i="1"/>
  <c r="G8" i="1"/>
  <c r="F8" i="1"/>
  <c r="G7" i="1"/>
  <c r="F7" i="1"/>
  <c r="H7" i="1" s="1"/>
  <c r="J7" i="1" s="1"/>
  <c r="G6" i="1"/>
  <c r="H43" i="1" l="1"/>
  <c r="J43" i="1" s="1"/>
  <c r="U19" i="1"/>
  <c r="W19" i="1" s="1"/>
  <c r="U67" i="1"/>
  <c r="W67" i="1" s="1"/>
  <c r="X31" i="1"/>
  <c r="Y31" i="1"/>
  <c r="X55" i="1"/>
  <c r="Y55" i="1"/>
  <c r="X19" i="1"/>
  <c r="Y19" i="1"/>
  <c r="X43" i="1"/>
  <c r="Y43" i="1"/>
  <c r="Y67" i="1"/>
  <c r="X67" i="1"/>
  <c r="Y7" i="1"/>
  <c r="X7" i="1"/>
  <c r="L55" i="1"/>
  <c r="K55" i="1"/>
  <c r="L67" i="1"/>
  <c r="K67" i="1"/>
  <c r="L31" i="1"/>
  <c r="K31" i="1"/>
  <c r="L43" i="1"/>
  <c r="K43" i="1"/>
  <c r="L19" i="1"/>
  <c r="K19" i="1"/>
  <c r="K7" i="1"/>
  <c r="L7" i="1"/>
  <c r="I84" i="3"/>
  <c r="C71" i="3"/>
  <c r="C76" i="3" l="1"/>
  <c r="G89" i="3" s="1"/>
  <c r="B77" i="6" s="1"/>
  <c r="D76" i="3"/>
  <c r="H89" i="3" s="1"/>
  <c r="C107" i="3" s="1"/>
  <c r="E76" i="3"/>
  <c r="I89" i="3" s="1"/>
  <c r="F107" i="3" s="1"/>
  <c r="F76" i="3"/>
  <c r="J89" i="3" s="1"/>
  <c r="D107" i="3" s="1"/>
  <c r="J107" i="3" s="1"/>
  <c r="G76" i="3"/>
  <c r="K89" i="3" s="1"/>
  <c r="G107" i="3" s="1"/>
  <c r="M107" i="3" s="1"/>
  <c r="H76" i="3"/>
  <c r="L89" i="3" s="1"/>
  <c r="I76" i="3"/>
  <c r="M89" i="3" s="1"/>
  <c r="H107" i="3" s="1"/>
  <c r="N107" i="3" s="1"/>
  <c r="C77" i="3"/>
  <c r="G90" i="3" s="1"/>
  <c r="B78" i="6" s="1"/>
  <c r="D77" i="3"/>
  <c r="H90" i="3" s="1"/>
  <c r="C108" i="3" s="1"/>
  <c r="E77" i="3"/>
  <c r="I90" i="3" s="1"/>
  <c r="F108" i="3" s="1"/>
  <c r="F77" i="3"/>
  <c r="J90" i="3" s="1"/>
  <c r="D108" i="3" s="1"/>
  <c r="J108" i="3" s="1"/>
  <c r="G77" i="3"/>
  <c r="K90" i="3" s="1"/>
  <c r="G108" i="3" s="1"/>
  <c r="M108" i="3" s="1"/>
  <c r="H77" i="3"/>
  <c r="L90" i="3" s="1"/>
  <c r="I77" i="3"/>
  <c r="M90" i="3" s="1"/>
  <c r="H108" i="3" s="1"/>
  <c r="N108" i="3" s="1"/>
  <c r="C78" i="3"/>
  <c r="G91" i="3" s="1"/>
  <c r="B86" i="6" s="1"/>
  <c r="D78" i="3"/>
  <c r="H91" i="3" s="1"/>
  <c r="C109" i="3" s="1"/>
  <c r="E78" i="3"/>
  <c r="I91" i="3" s="1"/>
  <c r="F109" i="3" s="1"/>
  <c r="F78" i="3"/>
  <c r="J91" i="3" s="1"/>
  <c r="D109" i="3" s="1"/>
  <c r="J109" i="3" s="1"/>
  <c r="G78" i="3"/>
  <c r="K91" i="3" s="1"/>
  <c r="G109" i="3" s="1"/>
  <c r="M109" i="3" s="1"/>
  <c r="H78" i="3"/>
  <c r="L91" i="3" s="1"/>
  <c r="I78" i="3"/>
  <c r="M91" i="3" s="1"/>
  <c r="H109" i="3" s="1"/>
  <c r="N109" i="3" s="1"/>
  <c r="C79" i="3"/>
  <c r="G92" i="3" s="1"/>
  <c r="B87" i="6" s="1"/>
  <c r="D79" i="3"/>
  <c r="H92" i="3" s="1"/>
  <c r="C110" i="3" s="1"/>
  <c r="E79" i="3"/>
  <c r="I92" i="3" s="1"/>
  <c r="F110" i="3" s="1"/>
  <c r="F79" i="3"/>
  <c r="J92" i="3" s="1"/>
  <c r="D110" i="3" s="1"/>
  <c r="J110" i="3" s="1"/>
  <c r="G79" i="3"/>
  <c r="K92" i="3" s="1"/>
  <c r="G110" i="3" s="1"/>
  <c r="M110" i="3" s="1"/>
  <c r="H79" i="3"/>
  <c r="L92" i="3" s="1"/>
  <c r="I79" i="3"/>
  <c r="M92" i="3" s="1"/>
  <c r="H110" i="3" s="1"/>
  <c r="N110" i="3" s="1"/>
  <c r="C80" i="3"/>
  <c r="G93" i="3" s="1"/>
  <c r="B88" i="6" s="1"/>
  <c r="D80" i="3"/>
  <c r="H93" i="3" s="1"/>
  <c r="C111" i="3" s="1"/>
  <c r="E80" i="3"/>
  <c r="I93" i="3" s="1"/>
  <c r="F111" i="3" s="1"/>
  <c r="F80" i="3"/>
  <c r="J93" i="3" s="1"/>
  <c r="D111" i="3" s="1"/>
  <c r="J111" i="3" s="1"/>
  <c r="G80" i="3"/>
  <c r="K93" i="3" s="1"/>
  <c r="G111" i="3" s="1"/>
  <c r="M111" i="3" s="1"/>
  <c r="H80" i="3"/>
  <c r="L93" i="3" s="1"/>
  <c r="I80" i="3"/>
  <c r="M93" i="3" s="1"/>
  <c r="H111" i="3" s="1"/>
  <c r="N111" i="3" s="1"/>
  <c r="D75" i="3"/>
  <c r="H88" i="3" s="1"/>
  <c r="E75" i="3"/>
  <c r="I88" i="3" s="1"/>
  <c r="F106" i="3" s="1"/>
  <c r="F75" i="3"/>
  <c r="J88" i="3" s="1"/>
  <c r="D106" i="3" s="1"/>
  <c r="J106" i="3" s="1"/>
  <c r="G75" i="3"/>
  <c r="K88" i="3" s="1"/>
  <c r="G106" i="3" s="1"/>
  <c r="M106" i="3" s="1"/>
  <c r="H75" i="3"/>
  <c r="L88" i="3" s="1"/>
  <c r="I75" i="3"/>
  <c r="M88" i="3" s="1"/>
  <c r="H106" i="3" s="1"/>
  <c r="N106" i="3" s="1"/>
  <c r="C75" i="3"/>
  <c r="G88" i="3" s="1"/>
  <c r="B76" i="6" s="1"/>
  <c r="H49" i="3"/>
  <c r="H47" i="3"/>
  <c r="H45" i="3"/>
  <c r="H41" i="3"/>
  <c r="H39" i="3"/>
  <c r="H35" i="3"/>
  <c r="G30" i="4" s="1"/>
  <c r="H31" i="3"/>
  <c r="C49" i="3"/>
  <c r="D40" i="4" s="1"/>
  <c r="C47" i="3"/>
  <c r="D38" i="4" s="1"/>
  <c r="C45" i="3"/>
  <c r="D36" i="4" s="1"/>
  <c r="C41" i="3"/>
  <c r="D34" i="4" s="1"/>
  <c r="C39" i="3"/>
  <c r="D32" i="4" s="1"/>
  <c r="C35" i="3"/>
  <c r="D30" i="4" s="1"/>
  <c r="C31" i="3"/>
  <c r="D28" i="4" s="1"/>
  <c r="B49" i="3"/>
  <c r="C40" i="4" s="1"/>
  <c r="B47" i="3"/>
  <c r="C38" i="4" s="1"/>
  <c r="B45" i="3"/>
  <c r="C36" i="4" s="1"/>
  <c r="B41" i="3"/>
  <c r="C34" i="4" s="1"/>
  <c r="B39" i="3"/>
  <c r="C32" i="4" s="1"/>
  <c r="B35" i="3"/>
  <c r="C30" i="4" s="1"/>
  <c r="B31" i="3"/>
  <c r="C28" i="4" s="1"/>
  <c r="D25" i="3"/>
  <c r="G25" i="3" s="1"/>
  <c r="D26" i="3"/>
  <c r="G26" i="3" s="1"/>
  <c r="D24" i="3"/>
  <c r="C23" i="3"/>
  <c r="D23" i="3"/>
  <c r="D22" i="3"/>
  <c r="C22" i="3"/>
  <c r="F16" i="3"/>
  <c r="G16" i="3"/>
  <c r="H16" i="3"/>
  <c r="F17" i="3"/>
  <c r="G17" i="3"/>
  <c r="H17" i="3"/>
  <c r="G15" i="3"/>
  <c r="H15" i="3"/>
  <c r="F15" i="3"/>
  <c r="C16" i="3"/>
  <c r="C17" i="3"/>
  <c r="C15" i="3"/>
  <c r="H6" i="3"/>
  <c r="H7" i="3"/>
  <c r="H8" i="3"/>
  <c r="H9" i="3"/>
  <c r="H10" i="3"/>
  <c r="F10" i="4" s="1"/>
  <c r="H5" i="3"/>
  <c r="C6" i="3"/>
  <c r="C7" i="3"/>
  <c r="C8" i="3"/>
  <c r="C9" i="3"/>
  <c r="C10" i="3"/>
  <c r="C11" i="3"/>
  <c r="C5" i="3"/>
  <c r="Q8" i="5" s="1"/>
  <c r="Q8" i="6" s="1"/>
  <c r="J17" i="3"/>
  <c r="K17" i="3"/>
  <c r="L17" i="3"/>
  <c r="M17" i="3"/>
  <c r="N17" i="3"/>
  <c r="O17" i="3"/>
  <c r="P17" i="3"/>
  <c r="Q17" i="3"/>
  <c r="R17" i="3"/>
  <c r="S17" i="3"/>
  <c r="T17" i="3"/>
  <c r="J18" i="3"/>
  <c r="K18" i="3"/>
  <c r="L18" i="3"/>
  <c r="M18" i="3"/>
  <c r="N18" i="3"/>
  <c r="O18" i="3"/>
  <c r="P18" i="3"/>
  <c r="Q18" i="3"/>
  <c r="R18" i="3"/>
  <c r="S18" i="3"/>
  <c r="T18" i="3"/>
  <c r="J19" i="3"/>
  <c r="K19" i="3"/>
  <c r="L19" i="3"/>
  <c r="M19" i="3"/>
  <c r="N19" i="3"/>
  <c r="O19" i="3"/>
  <c r="P19" i="3"/>
  <c r="Q19" i="3"/>
  <c r="R19" i="3"/>
  <c r="S19" i="3"/>
  <c r="T19" i="3"/>
  <c r="J20" i="3"/>
  <c r="K20" i="3"/>
  <c r="L20" i="3"/>
  <c r="M20" i="3"/>
  <c r="N20" i="3"/>
  <c r="O20" i="3"/>
  <c r="P20" i="3"/>
  <c r="Q20" i="3"/>
  <c r="R20" i="3"/>
  <c r="S20" i="3"/>
  <c r="T20" i="3"/>
  <c r="J35" i="3"/>
  <c r="H63" i="3"/>
  <c r="H64" i="3"/>
  <c r="I64" i="3" s="1"/>
  <c r="H65" i="3"/>
  <c r="G21" i="5" l="1"/>
  <c r="J22" i="6" s="1"/>
  <c r="D10" i="4"/>
  <c r="B58" i="6"/>
  <c r="C16" i="4"/>
  <c r="O59" i="6"/>
  <c r="G17" i="4"/>
  <c r="G19" i="5"/>
  <c r="J20" i="6" s="1"/>
  <c r="D9" i="4"/>
  <c r="G28" i="5"/>
  <c r="D5" i="4"/>
  <c r="H57" i="6"/>
  <c r="E15" i="4"/>
  <c r="L59" i="6"/>
  <c r="F17" i="4"/>
  <c r="H58" i="6"/>
  <c r="E16" i="4"/>
  <c r="J39" i="3"/>
  <c r="G32" i="4"/>
  <c r="J49" i="3"/>
  <c r="G40" i="4"/>
  <c r="O64" i="3"/>
  <c r="K66" i="6"/>
  <c r="D48" i="4"/>
  <c r="G23" i="5"/>
  <c r="J24" i="6" s="1"/>
  <c r="F5" i="4"/>
  <c r="G17" i="5"/>
  <c r="J18" i="6" s="1"/>
  <c r="D8" i="4"/>
  <c r="J30" i="6"/>
  <c r="F9" i="4"/>
  <c r="B57" i="6"/>
  <c r="C15" i="4"/>
  <c r="O57" i="6"/>
  <c r="G15" i="4"/>
  <c r="H59" i="6"/>
  <c r="E17" i="4"/>
  <c r="J41" i="3"/>
  <c r="G34" i="4"/>
  <c r="J26" i="6"/>
  <c r="F7" i="4"/>
  <c r="J47" i="3"/>
  <c r="G38" i="4"/>
  <c r="G15" i="5"/>
  <c r="A14" i="6" s="1"/>
  <c r="D6" i="4"/>
  <c r="J28" i="6"/>
  <c r="F8" i="4"/>
  <c r="B59" i="6"/>
  <c r="C17" i="4"/>
  <c r="L57" i="6"/>
  <c r="F15" i="4"/>
  <c r="O58" i="6"/>
  <c r="G16" i="4"/>
  <c r="J31" i="3"/>
  <c r="G28" i="4"/>
  <c r="J45" i="3"/>
  <c r="G36" i="4"/>
  <c r="L58" i="6"/>
  <c r="F16" i="4"/>
  <c r="H22" i="3"/>
  <c r="G24" i="3"/>
  <c r="B111" i="3"/>
  <c r="B63" i="1"/>
  <c r="E66" i="1" s="1"/>
  <c r="H66" i="1" s="1"/>
  <c r="J66" i="1" s="1"/>
  <c r="B107" i="3"/>
  <c r="B15" i="1"/>
  <c r="E18" i="1" s="1"/>
  <c r="H18" i="1" s="1"/>
  <c r="J18" i="1" s="1"/>
  <c r="B108" i="3"/>
  <c r="B27" i="1"/>
  <c r="E30" i="1" s="1"/>
  <c r="H30" i="1" s="1"/>
  <c r="J30" i="1" s="1"/>
  <c r="B106" i="3"/>
  <c r="B3" i="1"/>
  <c r="E6" i="1" s="1"/>
  <c r="H6" i="1" s="1"/>
  <c r="J6" i="1" s="1"/>
  <c r="B110" i="3"/>
  <c r="B51" i="1"/>
  <c r="E54" i="1" s="1"/>
  <c r="H54" i="1" s="1"/>
  <c r="J54" i="1" s="1"/>
  <c r="B109" i="3"/>
  <c r="B39" i="1"/>
  <c r="E42" i="1" s="1"/>
  <c r="H42" i="1" s="1"/>
  <c r="J42" i="1" s="1"/>
  <c r="I111" i="3"/>
  <c r="L108" i="3"/>
  <c r="P108" i="3" s="1"/>
  <c r="R108" i="3"/>
  <c r="T108" i="3" s="1"/>
  <c r="R29" i="1" s="1"/>
  <c r="U29" i="1" s="1"/>
  <c r="W29" i="1" s="1"/>
  <c r="I107" i="3"/>
  <c r="L106" i="3"/>
  <c r="P106" i="3" s="1"/>
  <c r="R106" i="3"/>
  <c r="T106" i="3" s="1"/>
  <c r="R5" i="1" s="1"/>
  <c r="U5" i="1" s="1"/>
  <c r="W5" i="1" s="1"/>
  <c r="L109" i="3"/>
  <c r="P109" i="3" s="1"/>
  <c r="R109" i="3"/>
  <c r="T109" i="3" s="1"/>
  <c r="R41" i="1" s="1"/>
  <c r="U41" i="1" s="1"/>
  <c r="W41" i="1" s="1"/>
  <c r="I108" i="3"/>
  <c r="L110" i="3"/>
  <c r="R110" i="3"/>
  <c r="T110" i="3" s="1"/>
  <c r="R53" i="1" s="1"/>
  <c r="U53" i="1" s="1"/>
  <c r="W53" i="1" s="1"/>
  <c r="I109" i="3"/>
  <c r="L111" i="3"/>
  <c r="P111" i="3" s="1"/>
  <c r="R111" i="3"/>
  <c r="T111" i="3" s="1"/>
  <c r="R65" i="1" s="1"/>
  <c r="U65" i="1" s="1"/>
  <c r="W65" i="1" s="1"/>
  <c r="I110" i="3"/>
  <c r="L107" i="3"/>
  <c r="P107" i="3" s="1"/>
  <c r="R107" i="3"/>
  <c r="T107" i="3" s="1"/>
  <c r="R17" i="1" s="1"/>
  <c r="U17" i="1" s="1"/>
  <c r="W17" i="1" s="1"/>
  <c r="P110" i="3"/>
  <c r="E106" i="3"/>
  <c r="K106" i="3" s="1"/>
  <c r="C106" i="3"/>
  <c r="E109" i="3"/>
  <c r="K109" i="3" s="1"/>
  <c r="E110" i="3"/>
  <c r="K110" i="3" s="1"/>
  <c r="E111" i="3"/>
  <c r="K111" i="3" s="1"/>
  <c r="E107" i="3"/>
  <c r="K107" i="3" s="1"/>
  <c r="E108" i="3"/>
  <c r="K108" i="3" s="1"/>
  <c r="F23" i="3"/>
  <c r="V17" i="3" s="1"/>
  <c r="G23" i="3" s="1"/>
  <c r="K31" i="3"/>
  <c r="L31" i="3" s="1"/>
  <c r="F68" i="4" s="1"/>
  <c r="J48" i="6" s="1"/>
  <c r="J50" i="6" s="1"/>
  <c r="F22" i="3"/>
  <c r="U19" i="3" s="1"/>
  <c r="H23" i="3"/>
  <c r="I65" i="3"/>
  <c r="I63" i="3"/>
  <c r="V111" i="3" l="1"/>
  <c r="H88" i="6"/>
  <c r="E64" i="4"/>
  <c r="O111" i="3"/>
  <c r="H77" i="6"/>
  <c r="E60" i="4"/>
  <c r="L42" i="1"/>
  <c r="K42" i="1"/>
  <c r="K6" i="1"/>
  <c r="L6" i="1"/>
  <c r="K18" i="1"/>
  <c r="L18" i="1"/>
  <c r="J41" i="6"/>
  <c r="D24" i="4"/>
  <c r="O65" i="3"/>
  <c r="K67" i="6"/>
  <c r="D50" i="4"/>
  <c r="V109" i="3"/>
  <c r="H86" i="6"/>
  <c r="E62" i="4"/>
  <c r="Z109" i="3"/>
  <c r="C62" i="4"/>
  <c r="Z106" i="3"/>
  <c r="C59" i="4"/>
  <c r="Z107" i="3"/>
  <c r="C60" i="4"/>
  <c r="H76" i="6"/>
  <c r="E59" i="4"/>
  <c r="Z110" i="3"/>
  <c r="C63" i="4"/>
  <c r="Z108" i="3"/>
  <c r="C61" i="4"/>
  <c r="Z111" i="3"/>
  <c r="C64" i="4"/>
  <c r="O63" i="3"/>
  <c r="K65" i="6"/>
  <c r="D46" i="4"/>
  <c r="O108" i="3"/>
  <c r="V110" i="3"/>
  <c r="H87" i="6"/>
  <c r="E63" i="4"/>
  <c r="V108" i="3"/>
  <c r="H78" i="6"/>
  <c r="E61" i="4"/>
  <c r="K54" i="1"/>
  <c r="L54" i="1"/>
  <c r="K30" i="1"/>
  <c r="L30" i="1"/>
  <c r="K66" i="1"/>
  <c r="L66" i="1"/>
  <c r="D23" i="4"/>
  <c r="K39" i="6"/>
  <c r="E23" i="4"/>
  <c r="M39" i="6"/>
  <c r="E22" i="4"/>
  <c r="M37" i="6"/>
  <c r="V19" i="3"/>
  <c r="V106" i="3"/>
  <c r="V107" i="3"/>
  <c r="X41" i="1"/>
  <c r="Y41" i="1"/>
  <c r="E44" i="1"/>
  <c r="H44" i="1" s="1"/>
  <c r="J44" i="1" s="1"/>
  <c r="O39" i="1"/>
  <c r="E8" i="1"/>
  <c r="H8" i="1" s="1"/>
  <c r="J8" i="1" s="1"/>
  <c r="O3" i="1"/>
  <c r="E20" i="1"/>
  <c r="H20" i="1" s="1"/>
  <c r="J20" i="1" s="1"/>
  <c r="O15" i="1"/>
  <c r="X53" i="1"/>
  <c r="Y53" i="1"/>
  <c r="X29" i="1"/>
  <c r="Y29" i="1"/>
  <c r="Y65" i="1"/>
  <c r="X65" i="1"/>
  <c r="Y5" i="1"/>
  <c r="X5" i="1"/>
  <c r="E56" i="1"/>
  <c r="H56" i="1" s="1"/>
  <c r="J56" i="1" s="1"/>
  <c r="O51" i="1"/>
  <c r="O27" i="1"/>
  <c r="E32" i="1"/>
  <c r="H32" i="1" s="1"/>
  <c r="J32" i="1" s="1"/>
  <c r="O63" i="1"/>
  <c r="E68" i="1"/>
  <c r="H68" i="1" s="1"/>
  <c r="J68" i="1" s="1"/>
  <c r="X17" i="1"/>
  <c r="Y17" i="1"/>
  <c r="O107" i="3"/>
  <c r="O109" i="3"/>
  <c r="O110" i="3"/>
  <c r="I106" i="3"/>
  <c r="O106" i="3" s="1"/>
  <c r="Q106" i="3"/>
  <c r="S106" i="3" s="1"/>
  <c r="E5" i="1" s="1"/>
  <c r="H5" i="1" s="1"/>
  <c r="J5" i="1" s="1"/>
  <c r="Q107" i="3"/>
  <c r="S107" i="3" s="1"/>
  <c r="E17" i="1" s="1"/>
  <c r="H17" i="1" s="1"/>
  <c r="J17" i="1" s="1"/>
  <c r="Q111" i="3"/>
  <c r="S111" i="3" s="1"/>
  <c r="E65" i="1" s="1"/>
  <c r="H65" i="1" s="1"/>
  <c r="J65" i="1" s="1"/>
  <c r="Q110" i="3"/>
  <c r="S110" i="3" s="1"/>
  <c r="E53" i="1" s="1"/>
  <c r="H53" i="1" s="1"/>
  <c r="J53" i="1" s="1"/>
  <c r="Q109" i="3"/>
  <c r="S109" i="3" s="1"/>
  <c r="E41" i="1" s="1"/>
  <c r="H41" i="1" s="1"/>
  <c r="J41" i="1" s="1"/>
  <c r="Q108" i="3"/>
  <c r="S108" i="3" s="1"/>
  <c r="E29" i="1" s="1"/>
  <c r="H29" i="1" s="1"/>
  <c r="J29" i="1" s="1"/>
  <c r="V18" i="3"/>
  <c r="V20" i="3"/>
  <c r="U18" i="3"/>
  <c r="U17" i="3"/>
  <c r="G22" i="3" s="1"/>
  <c r="U20" i="3"/>
  <c r="P63" i="3"/>
  <c r="F67" i="4" s="1"/>
  <c r="R20" i="1" l="1"/>
  <c r="U20" i="1" s="1"/>
  <c r="W20" i="1" s="1"/>
  <c r="R18" i="1"/>
  <c r="U18" i="1" s="1"/>
  <c r="W18" i="1" s="1"/>
  <c r="L77" i="6"/>
  <c r="G60" i="4"/>
  <c r="U110" i="3"/>
  <c r="F87" i="6"/>
  <c r="D63" i="4"/>
  <c r="R32" i="1"/>
  <c r="U32" i="1" s="1"/>
  <c r="W32" i="1" s="1"/>
  <c r="X32" i="1" s="1"/>
  <c r="R30" i="1"/>
  <c r="U30" i="1" s="1"/>
  <c r="W30" i="1" s="1"/>
  <c r="L76" i="6"/>
  <c r="G59" i="4"/>
  <c r="L78" i="6"/>
  <c r="G61" i="4"/>
  <c r="U108" i="3"/>
  <c r="F78" i="6"/>
  <c r="D61" i="4"/>
  <c r="L86" i="6"/>
  <c r="G62" i="4"/>
  <c r="U109" i="3"/>
  <c r="F86" i="6"/>
  <c r="D62" i="4"/>
  <c r="R56" i="1"/>
  <c r="U56" i="1" s="1"/>
  <c r="W56" i="1" s="1"/>
  <c r="R54" i="1"/>
  <c r="U54" i="1" s="1"/>
  <c r="W54" i="1" s="1"/>
  <c r="R8" i="1"/>
  <c r="U8" i="1" s="1"/>
  <c r="W8" i="1" s="1"/>
  <c r="Y8" i="1" s="1"/>
  <c r="R6" i="1"/>
  <c r="U6" i="1" s="1"/>
  <c r="W6" i="1" s="1"/>
  <c r="L88" i="6"/>
  <c r="G64" i="4"/>
  <c r="U107" i="3"/>
  <c r="F77" i="6"/>
  <c r="D60" i="4"/>
  <c r="R68" i="1"/>
  <c r="U68" i="1" s="1"/>
  <c r="W68" i="1" s="1"/>
  <c r="R66" i="1"/>
  <c r="U66" i="1" s="1"/>
  <c r="W66" i="1" s="1"/>
  <c r="U111" i="3"/>
  <c r="F88" i="6"/>
  <c r="D64" i="4"/>
  <c r="U106" i="3"/>
  <c r="F76" i="6"/>
  <c r="D59" i="4"/>
  <c r="R44" i="1"/>
  <c r="U44" i="1" s="1"/>
  <c r="W44" i="1" s="1"/>
  <c r="R42" i="1"/>
  <c r="U42" i="1" s="1"/>
  <c r="W42" i="1" s="1"/>
  <c r="L87" i="6"/>
  <c r="G63" i="4"/>
  <c r="D22" i="4"/>
  <c r="K37" i="6"/>
  <c r="L53" i="1"/>
  <c r="K53" i="1"/>
  <c r="K32" i="1"/>
  <c r="L32" i="1"/>
  <c r="Y20" i="1"/>
  <c r="X20" i="1"/>
  <c r="Y44" i="1"/>
  <c r="X44" i="1"/>
  <c r="L65" i="1"/>
  <c r="K65" i="1"/>
  <c r="Y32" i="1"/>
  <c r="L20" i="1"/>
  <c r="K20" i="1"/>
  <c r="L44" i="1"/>
  <c r="K44" i="1"/>
  <c r="L29" i="1"/>
  <c r="K29" i="1"/>
  <c r="K33" i="1" s="1"/>
  <c r="K34" i="1" s="1"/>
  <c r="L17" i="1"/>
  <c r="K17" i="1"/>
  <c r="K68" i="1"/>
  <c r="L68" i="1"/>
  <c r="Y56" i="1"/>
  <c r="X56" i="1"/>
  <c r="K41" i="1"/>
  <c r="K45" i="1" s="1"/>
  <c r="K46" i="1" s="1"/>
  <c r="L41" i="1"/>
  <c r="L5" i="1"/>
  <c r="K5" i="1"/>
  <c r="Y68" i="1"/>
  <c r="X68" i="1"/>
  <c r="K56" i="1"/>
  <c r="L56" i="1"/>
  <c r="L8" i="1"/>
  <c r="K8" i="1"/>
  <c r="Y66" i="1" l="1"/>
  <c r="Y69" i="1" s="1"/>
  <c r="X66" i="1"/>
  <c r="X54" i="1"/>
  <c r="X57" i="1" s="1"/>
  <c r="X58" i="1" s="1"/>
  <c r="Y54" i="1"/>
  <c r="Y57" i="1" s="1"/>
  <c r="X59" i="1" s="1"/>
  <c r="X60" i="1" s="1"/>
  <c r="X61" i="1" s="1"/>
  <c r="X110" i="3" s="1"/>
  <c r="J86" i="6"/>
  <c r="F62" i="4"/>
  <c r="X8" i="1"/>
  <c r="Y45" i="1"/>
  <c r="J78" i="6"/>
  <c r="F61" i="4"/>
  <c r="Y18" i="1"/>
  <c r="Y21" i="1" s="1"/>
  <c r="X18" i="1"/>
  <c r="X21" i="1" s="1"/>
  <c r="X22" i="1" s="1"/>
  <c r="X23" i="1" s="1"/>
  <c r="X24" i="1" s="1"/>
  <c r="X25" i="1" s="1"/>
  <c r="X107" i="3" s="1"/>
  <c r="X42" i="1"/>
  <c r="X45" i="1" s="1"/>
  <c r="X46" i="1" s="1"/>
  <c r="X47" i="1" s="1"/>
  <c r="X48" i="1" s="1"/>
  <c r="X49" i="1" s="1"/>
  <c r="X109" i="3" s="1"/>
  <c r="Y42" i="1"/>
  <c r="J76" i="6"/>
  <c r="F59" i="4"/>
  <c r="J77" i="6"/>
  <c r="F60" i="4"/>
  <c r="X69" i="1"/>
  <c r="X70" i="1" s="1"/>
  <c r="X71" i="1" s="1"/>
  <c r="X72" i="1" s="1"/>
  <c r="X73" i="1" s="1"/>
  <c r="X111" i="3" s="1"/>
  <c r="J88" i="6"/>
  <c r="F64" i="4"/>
  <c r="X6" i="1"/>
  <c r="Y6" i="1"/>
  <c r="Y9" i="1" s="1"/>
  <c r="X30" i="1"/>
  <c r="X33" i="1" s="1"/>
  <c r="X34" i="1" s="1"/>
  <c r="X35" i="1" s="1"/>
  <c r="X36" i="1" s="1"/>
  <c r="X37" i="1" s="1"/>
  <c r="X108" i="3" s="1"/>
  <c r="Y30" i="1"/>
  <c r="Y33" i="1" s="1"/>
  <c r="J87" i="6"/>
  <c r="F63" i="4"/>
  <c r="L45" i="1"/>
  <c r="K47" i="1"/>
  <c r="K48" i="1" s="1"/>
  <c r="K49" i="1" s="1"/>
  <c r="W109" i="3" s="1"/>
  <c r="L33" i="1"/>
  <c r="K35" i="1" s="1"/>
  <c r="K36" i="1" s="1"/>
  <c r="K37" i="1" s="1"/>
  <c r="W108" i="3" s="1"/>
  <c r="L69" i="1"/>
  <c r="K9" i="1"/>
  <c r="K10" i="1" s="1"/>
  <c r="L9" i="1"/>
  <c r="K21" i="1"/>
  <c r="K22" i="1" s="1"/>
  <c r="K57" i="1"/>
  <c r="K58" i="1" s="1"/>
  <c r="L21" i="1"/>
  <c r="K69" i="1"/>
  <c r="K70" i="1" s="1"/>
  <c r="K71" i="1" s="1"/>
  <c r="K72" i="1" s="1"/>
  <c r="K73" i="1" s="1"/>
  <c r="W111" i="3" s="1"/>
  <c r="L57" i="1"/>
  <c r="AB109" i="3" l="1"/>
  <c r="I62" i="4"/>
  <c r="Q86" i="6"/>
  <c r="X9" i="1"/>
  <c r="X10" i="1" s="1"/>
  <c r="X11" i="1" s="1"/>
  <c r="X12" i="1" s="1"/>
  <c r="X13" i="1" s="1"/>
  <c r="X106" i="3" s="1"/>
  <c r="AB106" i="3" s="1"/>
  <c r="AB107" i="3"/>
  <c r="Q77" i="6"/>
  <c r="I60" i="4"/>
  <c r="AB108" i="3"/>
  <c r="Q78" i="6"/>
  <c r="I61" i="4"/>
  <c r="AB110" i="3"/>
  <c r="Q87" i="6"/>
  <c r="I63" i="4"/>
  <c r="AB111" i="3"/>
  <c r="Q88" i="6"/>
  <c r="I64" i="4"/>
  <c r="AA111" i="3"/>
  <c r="N88" i="6"/>
  <c r="H64" i="4"/>
  <c r="AA109" i="3"/>
  <c r="N86" i="6"/>
  <c r="H62" i="4"/>
  <c r="AA108" i="3"/>
  <c r="N78" i="6"/>
  <c r="H61" i="4"/>
  <c r="K23" i="1"/>
  <c r="K24" i="1" s="1"/>
  <c r="K25" i="1" s="1"/>
  <c r="W107" i="3" s="1"/>
  <c r="K59" i="1"/>
  <c r="K60" i="1" s="1"/>
  <c r="K61" i="1" s="1"/>
  <c r="W110" i="3" s="1"/>
  <c r="K11" i="1"/>
  <c r="K12" i="1" s="1"/>
  <c r="K13" i="1" s="1"/>
  <c r="W106" i="3" s="1"/>
  <c r="I59" i="4" l="1"/>
  <c r="Q76" i="6"/>
  <c r="AA110" i="3"/>
  <c r="N87" i="6"/>
  <c r="H63" i="4"/>
  <c r="AA107" i="3"/>
  <c r="N77" i="6"/>
  <c r="H60" i="4"/>
  <c r="AA106" i="3"/>
  <c r="AC106" i="3" s="1"/>
  <c r="AD106" i="3" s="1"/>
  <c r="K58" i="4" s="1"/>
  <c r="M58" i="4" s="1"/>
  <c r="D69" i="4" s="1"/>
  <c r="I93" i="6" s="1"/>
  <c r="N76" i="6"/>
  <c r="H5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user</author>
  </authors>
  <commentList>
    <comment ref="G21" authorId="0" shapeId="0" xr:uid="{09EA5881-EFEA-441D-9F81-C9D11CA6E7BD}">
      <text>
        <r>
          <rPr>
            <b/>
            <sz val="9"/>
            <color indexed="81"/>
            <rFont val="Tahoma"/>
            <family val="2"/>
          </rPr>
          <t>USER:</t>
        </r>
        <r>
          <rPr>
            <sz val="9"/>
            <color indexed="81"/>
            <rFont val="Tahoma"/>
            <family val="2"/>
          </rPr>
          <t xml:space="preserve">
sesuaikan dengan kalibrator yang dipakai</t>
        </r>
      </text>
    </comment>
    <comment ref="H21" authorId="0" shapeId="0" xr:uid="{5FC5741A-F44D-4A04-A023-560B934FAFD0}">
      <text>
        <r>
          <rPr>
            <b/>
            <sz val="9"/>
            <color indexed="81"/>
            <rFont val="Tahoma"/>
            <family val="2"/>
          </rPr>
          <t>USER:</t>
        </r>
        <r>
          <rPr>
            <sz val="9"/>
            <color indexed="81"/>
            <rFont val="Tahoma"/>
            <family val="2"/>
          </rPr>
          <t xml:space="preserve">
sesuaikan dengan kalibrator yang dipakai</t>
        </r>
      </text>
    </comment>
    <comment ref="H84" authorId="1" shapeId="0" xr:uid="{D17C9EBD-B7F2-4FF3-BCAC-2C378FB813A7}">
      <text>
        <r>
          <rPr>
            <b/>
            <sz val="9"/>
            <color indexed="81"/>
            <rFont val="Tahoma"/>
            <family val="2"/>
          </rPr>
          <t>user:</t>
        </r>
        <r>
          <rPr>
            <sz val="9"/>
            <color indexed="81"/>
            <rFont val="Tahoma"/>
            <family val="2"/>
          </rPr>
          <t xml:space="preserve">
no angka sesuai satuan asli UUT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67" authorId="0" shapeId="0" xr:uid="{78EA7CE8-3557-46CF-93A1-FC1013540796}">
      <text>
        <r>
          <rPr>
            <b/>
            <sz val="9"/>
            <color indexed="81"/>
            <rFont val="Tahoma"/>
            <family val="2"/>
          </rPr>
          <t>USER:</t>
        </r>
        <r>
          <rPr>
            <sz val="9"/>
            <color indexed="81"/>
            <rFont val="Tahoma"/>
            <family val="2"/>
          </rPr>
          <t xml:space="preserve">
INPUT : AMAN / TIDAK AMAN</t>
        </r>
      </text>
    </comment>
    <comment ref="F68" authorId="0" shapeId="0" xr:uid="{39B34E01-F1E5-48C4-B686-461ECA560FF7}">
      <text>
        <r>
          <rPr>
            <b/>
            <sz val="9"/>
            <color indexed="81"/>
            <rFont val="Tahoma"/>
            <family val="2"/>
          </rPr>
          <t>USER:</t>
        </r>
        <r>
          <rPr>
            <sz val="9"/>
            <color indexed="81"/>
            <rFont val="Tahoma"/>
            <family val="2"/>
          </rPr>
          <t xml:space="preserve">
input baik / tidak baik
</t>
        </r>
      </text>
    </comment>
  </commentList>
</comments>
</file>

<file path=xl/sharedStrings.xml><?xml version="1.0" encoding="utf-8"?>
<sst xmlns="http://schemas.openxmlformats.org/spreadsheetml/2006/main" count="986" uniqueCount="354">
  <si>
    <t>III</t>
  </si>
  <si>
    <t>II</t>
  </si>
  <si>
    <t>I</t>
  </si>
  <si>
    <t>Toleransi</t>
  </si>
  <si>
    <t>F. PENGUKURAN KINERJA ALAT</t>
  </si>
  <si>
    <t>µA</t>
  </si>
  <si>
    <t xml:space="preserve">≤ </t>
  </si>
  <si>
    <t>√</t>
  </si>
  <si>
    <t>Arus bocor peralatan (µA)</t>
  </si>
  <si>
    <t>MΩ</t>
  </si>
  <si>
    <t>&gt;</t>
  </si>
  <si>
    <t>OR</t>
  </si>
  <si>
    <t>Resistansi Isolasi (MΩ)</t>
  </si>
  <si>
    <t>Ω</t>
  </si>
  <si>
    <t>Resistansi pembumian protektif (Ω)</t>
  </si>
  <si>
    <t>Tidak</t>
  </si>
  <si>
    <t>Ya</t>
  </si>
  <si>
    <t>Ambang Batas</t>
  </si>
  <si>
    <t>Memenuhi</t>
  </si>
  <si>
    <t>Terukur</t>
  </si>
  <si>
    <t>Parameter</t>
  </si>
  <si>
    <t>No</t>
  </si>
  <si>
    <t>Kabel catu daya yang dapat dilepas</t>
  </si>
  <si>
    <t>NPS : kabel catu daya yang tidak dapat dilepas</t>
  </si>
  <si>
    <t>PIE : peralatan yang diinstalasi permanen</t>
  </si>
  <si>
    <t>Catatan</t>
  </si>
  <si>
    <t>PIE</t>
  </si>
  <si>
    <t>NPS</t>
  </si>
  <si>
    <t>DPS</t>
  </si>
  <si>
    <t>Hubungan utama</t>
  </si>
  <si>
    <t>Baterai</t>
  </si>
  <si>
    <t>Kelas proteksi</t>
  </si>
  <si>
    <t>CF</t>
  </si>
  <si>
    <t>BF</t>
  </si>
  <si>
    <t>B</t>
  </si>
  <si>
    <t>Tipe bagian yang diaplikasikan</t>
  </si>
  <si>
    <t>E. PENGUKURAN KESELAMATAN LISTRIK</t>
  </si>
  <si>
    <t>Tidak baik</t>
  </si>
  <si>
    <t>Baik</t>
  </si>
  <si>
    <t>Tombol saklar dan kontrol</t>
  </si>
  <si>
    <t>Periksa kabel, apakah terlihat ada kerusakan atau bagian isolasi yang terkelupas.</t>
  </si>
  <si>
    <t>Kabel Catu Utama</t>
  </si>
  <si>
    <t>Periksa apakah ada gangguan pada tusuk kontak (AC-Power). Gerak-gerakkan kotak kontak untuk memastikan keamanannya. Goyang-goyangkan kotak kontak untuk memastikan tidak ada baut atau mur yang longgar</t>
  </si>
  <si>
    <t>periksa bagian luar unit, pastikan bersih, terpasang ketat satu dan lainnya dan tidak ada bekas tertimpa cairan ataupun gangguan lainnya.</t>
  </si>
  <si>
    <t>Badan Permukaan</t>
  </si>
  <si>
    <t>Hasil Pengamatan</t>
  </si>
  <si>
    <t>Keterangan</t>
  </si>
  <si>
    <t>Bagian Alat</t>
  </si>
  <si>
    <t>D. PEMERIKSAAN FISIK DAN FUNGSI ALAT</t>
  </si>
  <si>
    <t>Vac</t>
  </si>
  <si>
    <t>N-G</t>
  </si>
  <si>
    <t>L-G</t>
  </si>
  <si>
    <t xml:space="preserve"> ± 10 %Vac</t>
  </si>
  <si>
    <t>L-N</t>
  </si>
  <si>
    <t>Tegangan</t>
  </si>
  <si>
    <t>55 % ± 20 %</t>
  </si>
  <si>
    <t>RH (%)</t>
  </si>
  <si>
    <t>25 ± 6 °C</t>
  </si>
  <si>
    <t>Suhu (°C)</t>
  </si>
  <si>
    <t>Akhir</t>
  </si>
  <si>
    <t xml:space="preserve">Awal </t>
  </si>
  <si>
    <t>Kondisi Ruang</t>
  </si>
  <si>
    <t>C. PENGUKURAN KONDISI LINGKUNGAN</t>
  </si>
  <si>
    <t>TH-01</t>
  </si>
  <si>
    <t>HTC-1</t>
  </si>
  <si>
    <t>Taffware</t>
  </si>
  <si>
    <t>Thermohygrometer</t>
  </si>
  <si>
    <t>Fluke Biomedical</t>
  </si>
  <si>
    <t>Electrical Safety Analyzer</t>
  </si>
  <si>
    <t>No. Seri</t>
  </si>
  <si>
    <t>Type / Model</t>
  </si>
  <si>
    <t>Merk</t>
  </si>
  <si>
    <t>Nama Alat</t>
  </si>
  <si>
    <t>B. DAFTAR ALAT YANG DIGUNAKAN</t>
  </si>
  <si>
    <t>kalibrasi berikutnya:</t>
  </si>
  <si>
    <t>Resolusi :</t>
  </si>
  <si>
    <t>Petugas Kalibrasi :</t>
  </si>
  <si>
    <t>Kapasitas :</t>
  </si>
  <si>
    <t>Tgl. Kalibrasi :</t>
  </si>
  <si>
    <t xml:space="preserve">No. Seri :     </t>
  </si>
  <si>
    <t>Tgl. Terima :</t>
  </si>
  <si>
    <t>Model/Tipe :</t>
  </si>
  <si>
    <t>Ruangan :</t>
  </si>
  <si>
    <t xml:space="preserve">Merek :               </t>
  </si>
  <si>
    <t>Pemilik :</t>
  </si>
  <si>
    <t>Nama Alat :</t>
  </si>
  <si>
    <t>No. Alat :</t>
  </si>
  <si>
    <t>No. Sertifikat :</t>
  </si>
  <si>
    <t>A. PENDATAAN ADMINISTRASI</t>
  </si>
  <si>
    <t>LEMBAR KERJA KALIBRASI PHACO EMULSIFIKASI</t>
  </si>
  <si>
    <t>Phaco Emulsifikasi</t>
  </si>
  <si>
    <t>Digital Pressure Meter</t>
  </si>
  <si>
    <t>Kotak kontak alat</t>
  </si>
  <si>
    <t>sebelum mempergunakan/mengubah-ubah tombol kontrol, periksa posisinya, jika terlihat tidak berada pada posisinya (periksa dengan menggunakan mode pemeriksaan standar). Bandingkan dengan posisi control. Ingat peraturan tersebut dan jangan lupa untuk mengembalikan pada setting awal jika sudah selesai menggunakan</t>
  </si>
  <si>
    <t>Tampilan dan indicator</t>
  </si>
  <si>
    <t>Selama pengecekan fungsi, pastikan lampu indicator dan tampilan layar berfungsi baik.</t>
  </si>
  <si>
    <t>Sistem pengunci pergerakan</t>
  </si>
  <si>
    <t>Lakukan pemeriksaan system pengunci pergerakan</t>
  </si>
  <si>
    <t>Filter</t>
  </si>
  <si>
    <t>Periksa kondisi filter pastikan tidak kotor</t>
  </si>
  <si>
    <t>Setting UUT</t>
  </si>
  <si>
    <t>Hasil Pengukuran Standar (mmHg/…)</t>
  </si>
  <si>
    <t>Pengukuran 1</t>
  </si>
  <si>
    <t>Pengukuran 2</t>
  </si>
  <si>
    <t>Pengukuran 3</t>
  </si>
  <si>
    <t>mmHg/…</t>
  </si>
  <si>
    <t>Naik</t>
  </si>
  <si>
    <t>Turun</t>
  </si>
  <si>
    <t xml:space="preserve"> ± 10%</t>
  </si>
  <si>
    <t>satuan =</t>
  </si>
  <si>
    <t>Score</t>
  </si>
  <si>
    <t>Bobot</t>
  </si>
  <si>
    <t>Hasil</t>
  </si>
  <si>
    <t>U95</t>
  </si>
  <si>
    <t>ESDM</t>
  </si>
  <si>
    <t>stdev</t>
  </si>
  <si>
    <t>Terkoreksi</t>
  </si>
  <si>
    <t>Jika pada uut kelas II tidak perlu mengukur resistansi pembumian protektif</t>
  </si>
  <si>
    <t>SCORE</t>
  </si>
  <si>
    <t>KETERANGAN</t>
  </si>
  <si>
    <t>terkoreksi</t>
  </si>
  <si>
    <t>Variabel X</t>
  </si>
  <si>
    <t>Intercept</t>
  </si>
  <si>
    <r>
      <t>Resistansi Isolasi (M</t>
    </r>
    <r>
      <rPr>
        <sz val="11"/>
        <color theme="1"/>
        <rFont val="Calibri"/>
        <family val="2"/>
      </rPr>
      <t>Ω</t>
    </r>
    <r>
      <rPr>
        <sz val="11"/>
        <color theme="1"/>
        <rFont val="Calibri"/>
        <family val="2"/>
        <charset val="1"/>
      </rPr>
      <t>)</t>
    </r>
  </si>
  <si>
    <r>
      <t>Resistansi Pembumian (</t>
    </r>
    <r>
      <rPr>
        <sz val="11"/>
        <color theme="1"/>
        <rFont val="Calibri"/>
        <family val="2"/>
      </rPr>
      <t>Ω</t>
    </r>
    <r>
      <rPr>
        <sz val="11"/>
        <color theme="1"/>
        <rFont val="Calibri"/>
        <family val="2"/>
        <charset val="1"/>
      </rPr>
      <t>)</t>
    </r>
  </si>
  <si>
    <r>
      <t>Arus AC (</t>
    </r>
    <r>
      <rPr>
        <sz val="11"/>
        <color theme="1"/>
        <rFont val="Calibri"/>
        <family val="2"/>
      </rPr>
      <t>µ</t>
    </r>
    <r>
      <rPr>
        <sz val="11"/>
        <color theme="1"/>
        <rFont val="Calibri"/>
        <family val="2"/>
        <charset val="1"/>
      </rPr>
      <t>A)</t>
    </r>
  </si>
  <si>
    <r>
      <t>Arus DC (</t>
    </r>
    <r>
      <rPr>
        <sz val="11"/>
        <color theme="1"/>
        <rFont val="Calibri"/>
        <family val="2"/>
      </rPr>
      <t>µ</t>
    </r>
    <r>
      <rPr>
        <sz val="11"/>
        <color theme="1"/>
        <rFont val="Calibri"/>
        <family val="2"/>
        <charset val="1"/>
      </rPr>
      <t>A)</t>
    </r>
  </si>
  <si>
    <t>Tertelusur</t>
  </si>
  <si>
    <t>Tanggal Kalibrasi</t>
  </si>
  <si>
    <t>Type</t>
  </si>
  <si>
    <t xml:space="preserve">Bobot </t>
  </si>
  <si>
    <r>
      <t xml:space="preserve">50 % </t>
    </r>
    <r>
      <rPr>
        <sz val="11"/>
        <rFont val="Calibri"/>
        <family val="2"/>
      </rPr>
      <t>±</t>
    </r>
    <r>
      <rPr>
        <sz val="9.8000000000000007"/>
        <rFont val="Times New Roman"/>
        <family val="1"/>
      </rPr>
      <t xml:space="preserve"> 20 %</t>
    </r>
  </si>
  <si>
    <r>
      <t xml:space="preserve">25 </t>
    </r>
    <r>
      <rPr>
        <sz val="11"/>
        <rFont val="Calibri"/>
        <family val="2"/>
      </rPr>
      <t>±</t>
    </r>
    <r>
      <rPr>
        <sz val="9.8000000000000007"/>
        <rFont val="Times New Roman"/>
        <family val="1"/>
      </rPr>
      <t xml:space="preserve"> 6 </t>
    </r>
    <r>
      <rPr>
        <sz val="9.8000000000000007"/>
        <rFont val="Calibri"/>
        <family val="2"/>
      </rPr>
      <t>°</t>
    </r>
    <r>
      <rPr>
        <sz val="8.6999999999999993"/>
        <rFont val="Times New Roman"/>
        <family val="1"/>
      </rPr>
      <t>C</t>
    </r>
  </si>
  <si>
    <t>ktps</t>
  </si>
  <si>
    <t>mean terkoreksi</t>
  </si>
  <si>
    <t>mean</t>
  </si>
  <si>
    <t>kelembaban</t>
  </si>
  <si>
    <t>suhu</t>
  </si>
  <si>
    <t>Kelembaban</t>
  </si>
  <si>
    <t>Suhu</t>
  </si>
  <si>
    <t>X variabel</t>
  </si>
  <si>
    <t>Regresi Kelembaban</t>
  </si>
  <si>
    <t>Regresi Suhu</t>
  </si>
  <si>
    <t>Nama</t>
  </si>
  <si>
    <t>Lembar Kerja Phaco Emulsifikasi</t>
  </si>
  <si>
    <r>
      <t>*</t>
    </r>
    <r>
      <rPr>
        <sz val="11"/>
        <color theme="1"/>
        <rFont val="Times New Roman"/>
        <family val="1"/>
      </rPr>
      <t>Lihat Tabel Konversi di bawah ini untuk menentukan Toleransi Tekanan Maksimum pada satuan tekanan yang lain</t>
    </r>
  </si>
  <si>
    <t>Tabel Konversi Satuan Tekanan</t>
  </si>
  <si>
    <t>Satuan</t>
  </si>
  <si>
    <t>Ke mmHg</t>
  </si>
  <si>
    <t>PSI</t>
  </si>
  <si>
    <t>Bar</t>
  </si>
  <si>
    <t>mBar</t>
  </si>
  <si>
    <t>kPa</t>
  </si>
  <si>
    <t>hPa</t>
  </si>
  <si>
    <t>Pa</t>
  </si>
  <si>
    <t>mH2O</t>
  </si>
  <si>
    <t>ftH2O</t>
  </si>
  <si>
    <t>inchH2O</t>
  </si>
  <si>
    <t>cmH2O</t>
  </si>
  <si>
    <t>Kgf/cm2</t>
  </si>
  <si>
    <t>Atm</t>
  </si>
  <si>
    <t>mmHg</t>
  </si>
  <si>
    <t>cmHg</t>
  </si>
  <si>
    <t>mPa</t>
  </si>
  <si>
    <t>InHg</t>
  </si>
  <si>
    <t>mmH2O</t>
  </si>
  <si>
    <t>CONVERT TO MMHG</t>
  </si>
  <si>
    <t xml:space="preserve">Setting UUT </t>
  </si>
  <si>
    <t>Pembacaan Standar</t>
  </si>
  <si>
    <t>NAIK</t>
  </si>
  <si>
    <t>TURUN</t>
  </si>
  <si>
    <t>naik</t>
  </si>
  <si>
    <t>turun</t>
  </si>
  <si>
    <t>koreksi</t>
  </si>
  <si>
    <t>toleransi</t>
  </si>
  <si>
    <t>Komponen</t>
  </si>
  <si>
    <t xml:space="preserve">satuan </t>
  </si>
  <si>
    <t>Distribusi</t>
  </si>
  <si>
    <t>U</t>
  </si>
  <si>
    <t>Pembagi</t>
  </si>
  <si>
    <t>v</t>
  </si>
  <si>
    <t>u</t>
  </si>
  <si>
    <t>c</t>
  </si>
  <si>
    <t>(u.c)</t>
  </si>
  <si>
    <t>(u.c)²</t>
  </si>
  <si>
    <t>(u.c)⁴/v</t>
  </si>
  <si>
    <t>Pengukuran berulang</t>
  </si>
  <si>
    <t>t-student</t>
  </si>
  <si>
    <t>Sertifikat standar</t>
  </si>
  <si>
    <t>Normal</t>
  </si>
  <si>
    <t>Resolusi</t>
  </si>
  <si>
    <t>Rectangular</t>
  </si>
  <si>
    <t>Drift</t>
  </si>
  <si>
    <t>Jumlah</t>
  </si>
  <si>
    <t>Ketidakpastian baku gabungan, Uc</t>
  </si>
  <si>
    <t>Derajat kebebasan effektif, V eff</t>
  </si>
  <si>
    <t>Faktor cakupan, k-student untuk Veff dan CL 95%</t>
  </si>
  <si>
    <t>Ketidakpastian bentangan, U=k.Uc</t>
  </si>
  <si>
    <t>tgl kalibrasi</t>
  </si>
  <si>
    <t xml:space="preserve"> </t>
  </si>
  <si>
    <t>Disarankan agar dilakukan kalibrasi ulang sesuai jadwal secara berkala</t>
  </si>
  <si>
    <t>d.</t>
  </si>
  <si>
    <r>
      <t>Alat dinyatakan</t>
    </r>
    <r>
      <rPr>
        <b/>
        <i/>
        <sz val="11"/>
        <rFont val="Times New Roman"/>
        <family val="1"/>
      </rPr>
      <t xml:space="preserve"> </t>
    </r>
  </si>
  <si>
    <t>c.</t>
  </si>
  <si>
    <t>Pengujian fisik dan fungsi  dinyatakan :</t>
  </si>
  <si>
    <t>b.</t>
  </si>
  <si>
    <t>Pengujian keselamatan listrik dinyatakan :</t>
  </si>
  <si>
    <t>a.</t>
  </si>
  <si>
    <t>VI.  Kesimpulan</t>
  </si>
  <si>
    <t>TOTAL SCORE</t>
  </si>
  <si>
    <t>SCORE KINERJA ALAT</t>
  </si>
  <si>
    <t>Koreksi</t>
  </si>
  <si>
    <t>pembacaan standar</t>
  </si>
  <si>
    <t xml:space="preserve">Tidak </t>
  </si>
  <si>
    <t>Terukur Koreksi</t>
  </si>
  <si>
    <t>No.</t>
  </si>
  <si>
    <t>Tipe / Model</t>
  </si>
  <si>
    <t>Nama Petugas Kalibrasi :</t>
  </si>
  <si>
    <t>Tgl. Kalibrasi</t>
  </si>
  <si>
    <t>Tgl. Terima</t>
  </si>
  <si>
    <t>Ruangan Tempat Alat :</t>
  </si>
  <si>
    <t>Rentang Ukur :</t>
  </si>
  <si>
    <t>Nama Pelanggan :</t>
  </si>
  <si>
    <t>Director</t>
  </si>
  <si>
    <t>Direktur</t>
  </si>
  <si>
    <t>Samsurizal</t>
  </si>
  <si>
    <t>PT. Presisi Kalibrasi Medika</t>
  </si>
  <si>
    <t>Published date</t>
  </si>
  <si>
    <t>:</t>
  </si>
  <si>
    <t>Diterbitkan tanggal</t>
  </si>
  <si>
    <t>This certificate consist of</t>
  </si>
  <si>
    <t>5 halaman</t>
  </si>
  <si>
    <t>Sertifikat ini terdiri dari</t>
  </si>
  <si>
    <t>Bantargebang, Kec. Bantar Gebang, Kota Bks, Jawa Barat 17151</t>
  </si>
  <si>
    <t>Address</t>
  </si>
  <si>
    <t xml:space="preserve">Jl. Cipendawa Baru, RT.003/RW.002, </t>
  </si>
  <si>
    <t>Alamat</t>
  </si>
  <si>
    <t>Customer</t>
  </si>
  <si>
    <t>Pelanggan</t>
  </si>
  <si>
    <t>Customer ID</t>
  </si>
  <si>
    <t>IDENTITAS PELANGGAN</t>
  </si>
  <si>
    <t>Resolution</t>
  </si>
  <si>
    <t>Serial Number</t>
  </si>
  <si>
    <t>Nomor Seri</t>
  </si>
  <si>
    <t>Type/Model</t>
  </si>
  <si>
    <t>Brand</t>
  </si>
  <si>
    <t>Device Name</t>
  </si>
  <si>
    <t>Instrument ID</t>
  </si>
  <si>
    <t>DATA ALAT</t>
  </si>
  <si>
    <t>Calibration Certificate</t>
  </si>
  <si>
    <t>SERTIFIKAT KALIBRASI</t>
  </si>
  <si>
    <t xml:space="preserve">Certificate Number </t>
  </si>
  <si>
    <t>Nomor Sertifikat</t>
  </si>
  <si>
    <t>~End of Certificate~</t>
  </si>
  <si>
    <t>~Akhir dari Sertifikat~</t>
  </si>
  <si>
    <t>Technical Manager</t>
  </si>
  <si>
    <t>Manajer Teknis</t>
  </si>
  <si>
    <t>Responsible Person</t>
  </si>
  <si>
    <t>Penanggung Jawab</t>
  </si>
  <si>
    <t>Testing and calibration results are only related to the condition and unit of
the instrument being report.</t>
  </si>
  <si>
    <t>Hasil pengujian dan kalibrasi hanya terkait dengan kondisi yang dilaporkan.</t>
  </si>
  <si>
    <t>The true value is determined from the instrument reading added by it's correction.</t>
  </si>
  <si>
    <t>Nilai sebenarnya adalah penunjukan alat ditambah koreksi.</t>
  </si>
  <si>
    <t>Uncertainty of measurement is exoressed at confidence level of 95 % 
with a converage factor k = 2.</t>
  </si>
  <si>
    <t>Nilai ketidakpastian pengukuran dinyatakan pada tingkat kepercayaan 95%, 
dengan faktor cakupan k = 2.</t>
  </si>
  <si>
    <t>Note</t>
  </si>
  <si>
    <t>Catatan :</t>
  </si>
  <si>
    <t>Do testing and calibration on repeat</t>
  </si>
  <si>
    <t>Recommendation</t>
  </si>
  <si>
    <t>Lakukan pengujian dan kalibrasi ulang secara berkala</t>
  </si>
  <si>
    <t>Saran</t>
  </si>
  <si>
    <t>Feasible to use</t>
  </si>
  <si>
    <t>Conclusion</t>
  </si>
  <si>
    <t>Kesimpulan</t>
  </si>
  <si>
    <t>Conclusion And Recommendation</t>
  </si>
  <si>
    <t>KESIMPULAN DAN SARAN</t>
  </si>
  <si>
    <t>G.</t>
  </si>
  <si>
    <t>Uncertainty (±)</t>
  </si>
  <si>
    <t>Correction</t>
  </si>
  <si>
    <t>Standard Reading</t>
  </si>
  <si>
    <t>UUT Setting</t>
  </si>
  <si>
    <t>Ketidakpastian Pengukuran (±)</t>
  </si>
  <si>
    <t>Penunjukkan Standar</t>
  </si>
  <si>
    <t xml:space="preserve">nominal mean terkoreksi mengikuti pembacaan hasil </t>
  </si>
  <si>
    <t>Performance Measurement</t>
  </si>
  <si>
    <t>PENGUKURAN KINERJA</t>
  </si>
  <si>
    <t>F.</t>
  </si>
  <si>
    <t>≤ 500 µA</t>
  </si>
  <si>
    <t>&gt; 2 MΩ</t>
  </si>
  <si>
    <t>≤ 0.3 Ω</t>
  </si>
  <si>
    <t>Tolerance</t>
  </si>
  <si>
    <t>Terukur/Hasil</t>
  </si>
  <si>
    <t>Measurement Of Electrical Safety</t>
  </si>
  <si>
    <t>PENGUKURAN KESELAMATAN LISTRIK</t>
  </si>
  <si>
    <t>E.</t>
  </si>
  <si>
    <t>Model/Type</t>
  </si>
  <si>
    <t>Instrument standard</t>
  </si>
  <si>
    <t>List Of Instrument Standard</t>
  </si>
  <si>
    <t>DAFTAR ALAT YANG DIGUNAKAN</t>
  </si>
  <si>
    <t>D.</t>
  </si>
  <si>
    <t xml:space="preserve"> Instrument Function</t>
  </si>
  <si>
    <t>Good</t>
  </si>
  <si>
    <t>/</t>
  </si>
  <si>
    <t>Fungsi Alat</t>
  </si>
  <si>
    <t xml:space="preserve"> Instrument Physical</t>
  </si>
  <si>
    <t>Fisik Alat</t>
  </si>
  <si>
    <t>Physcal And Function Inspection Result</t>
  </si>
  <si>
    <t>PENGAMATAN KONDISI FISIK DAN FUNGSI</t>
  </si>
  <si>
    <t>C.</t>
  </si>
  <si>
    <t>Power Supply Voltage</t>
  </si>
  <si>
    <t>Sumber Tegangan</t>
  </si>
  <si>
    <t>Humidity</t>
  </si>
  <si>
    <t>)%RH</t>
  </si>
  <si>
    <t>±</t>
  </si>
  <si>
    <t>(</t>
  </si>
  <si>
    <t xml:space="preserve">Kelembaban </t>
  </si>
  <si>
    <t>Temperature</t>
  </si>
  <si>
    <t>)°C</t>
  </si>
  <si>
    <t xml:space="preserve">Suhu </t>
  </si>
  <si>
    <t>Environment Condition</t>
  </si>
  <si>
    <t xml:space="preserve">KONDISI RUANGAN </t>
  </si>
  <si>
    <t>B.</t>
  </si>
  <si>
    <t>Valid Until</t>
  </si>
  <si>
    <t>Berlaku Sampai Dengan</t>
  </si>
  <si>
    <t>Calibration Date</t>
  </si>
  <si>
    <t xml:space="preserve">Order Received </t>
  </si>
  <si>
    <t>Tanggal Penerimaan Alat</t>
  </si>
  <si>
    <t>Instrument Location</t>
  </si>
  <si>
    <t>Ruangan Alat</t>
  </si>
  <si>
    <t>Administration</t>
  </si>
  <si>
    <t>PENDATAAN ADMINISTRASI</t>
  </si>
  <si>
    <t>A.</t>
  </si>
  <si>
    <t>Calibration Report</t>
  </si>
  <si>
    <t>LAPORAN KALIBRASI</t>
  </si>
  <si>
    <t>1. Kalibrasi daya hisap</t>
  </si>
  <si>
    <t>1. Kalibrasi Daya Hisap / suction power calibration</t>
  </si>
  <si>
    <t>Up</t>
  </si>
  <si>
    <t>Down</t>
  </si>
  <si>
    <t>Metode kerja pengujian dan kalibrasi Phaco Emulsifikasi  No. KMK-MK-082-0 
Keputusan Direktur Jenderal Pelayanan Kesehatan Nomor HK.02.02/D/43649/2024.</t>
  </si>
  <si>
    <t>Reference Methode by Phaco Emulsifikasi  No. KMK-MK-082-0 
Keputusan Direktur Jenderal Pelayanan Kesehatan Nomor HK.02.02/D/43649/2024.</t>
  </si>
  <si>
    <t>mbar=</t>
  </si>
  <si>
    <t>mmhg</t>
  </si>
  <si>
    <t>Hasil kalibrasi dilaporkan tertelusur ke IMT Analytics AG Corporation</t>
  </si>
  <si>
    <t>Calibration result tracead to IMT Analytics AG Corporation</t>
  </si>
  <si>
    <t>ESA612</t>
  </si>
  <si>
    <t>Eliza Novianti, A.Md.T</t>
  </si>
  <si>
    <t>S.431</t>
  </si>
  <si>
    <t>MD</t>
  </si>
  <si>
    <t>MD-480A</t>
  </si>
  <si>
    <t>PT. Bumi Indah Putra</t>
  </si>
  <si>
    <t>lab</t>
  </si>
  <si>
    <t>el</t>
  </si>
  <si>
    <t>Netech</t>
  </si>
  <si>
    <t>Digimano 2500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</si>
</sst>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00"/>
    <numFmt numFmtId="167" formatCode="0.00000000000"/>
    <numFmt numFmtId="168" formatCode="[$-13809]dd\ mmmm\ yyyy;@"/>
    <numFmt numFmtId="169" formatCode="[$-421]dd\ mmmm\ yyyy;@"/>
  </numFmts>
  <fonts count="62">
    <font>
      <sz val="11"/>
      <color theme="1"/>
      <name val="Calibri"/>
      <family val="2"/>
      <scheme val="minor"/>
    </font>
    <font>
      <sz val="11"/>
      <color theme="1"/>
      <name val="Calibri"/>
      <family val="2"/>
      <scheme val="minor"/>
    </font>
    <font>
      <b/>
      <sz val="11"/>
      <color theme="1"/>
      <name val="Calibri"/>
      <family val="2"/>
      <scheme val="minor"/>
    </font>
    <font>
      <sz val="11"/>
      <color theme="1"/>
      <name val="Times New Roman"/>
      <family val="1"/>
    </font>
    <font>
      <sz val="11"/>
      <color rgb="FF000000"/>
      <name val="Calibri"/>
      <family val="2"/>
      <scheme val="minor"/>
    </font>
    <font>
      <b/>
      <sz val="11"/>
      <color theme="1"/>
      <name val="Times New Roman"/>
      <family val="1"/>
    </font>
    <font>
      <sz val="10"/>
      <name val="Arial"/>
      <family val="2"/>
    </font>
    <font>
      <sz val="11"/>
      <name val="Times New Roman"/>
      <family val="1"/>
    </font>
    <font>
      <b/>
      <sz val="11"/>
      <name val="Times New Roman"/>
      <family val="1"/>
    </font>
    <font>
      <sz val="11"/>
      <color theme="1"/>
      <name val="Calibri"/>
      <family val="2"/>
      <charset val="1"/>
      <scheme val="minor"/>
    </font>
    <font>
      <sz val="11"/>
      <color rgb="FF000000"/>
      <name val="Times New Roman"/>
      <family val="1"/>
    </font>
    <font>
      <b/>
      <i/>
      <sz val="11"/>
      <name val="Times New Roman"/>
      <family val="1"/>
    </font>
    <font>
      <b/>
      <u/>
      <sz val="11"/>
      <name val="Times New Roman"/>
      <family val="1"/>
    </font>
    <font>
      <b/>
      <sz val="12"/>
      <color theme="1"/>
      <name val="Times New Roman"/>
      <family val="1"/>
    </font>
    <font>
      <sz val="11"/>
      <color rgb="FF000000"/>
      <name val="+mn-ea"/>
    </font>
    <font>
      <sz val="10"/>
      <name val="Calibri"/>
      <family val="2"/>
    </font>
    <font>
      <sz val="10"/>
      <name val="Times New Roman"/>
      <family val="1"/>
    </font>
    <font>
      <sz val="11"/>
      <color theme="1"/>
      <name val="Calibri"/>
      <family val="2"/>
    </font>
    <font>
      <sz val="11"/>
      <color theme="1"/>
      <name val="Calibri"/>
      <family val="2"/>
      <charset val="1"/>
    </font>
    <font>
      <sz val="10"/>
      <color rgb="FF000000"/>
      <name val="Times New Roman"/>
      <family val="1"/>
    </font>
    <font>
      <sz val="10"/>
      <color theme="1"/>
      <name val="Times New Roman"/>
      <family val="1"/>
    </font>
    <font>
      <b/>
      <sz val="10"/>
      <name val="Arial"/>
      <family val="2"/>
    </font>
    <font>
      <sz val="11"/>
      <name val="Calibri"/>
      <family val="2"/>
    </font>
    <font>
      <sz val="9.8000000000000007"/>
      <name val="Times New Roman"/>
      <family val="1"/>
    </font>
    <font>
      <sz val="9.8000000000000007"/>
      <name val="Calibri"/>
      <family val="2"/>
    </font>
    <font>
      <sz val="8.6999999999999993"/>
      <name val="Times New Roman"/>
      <family val="1"/>
    </font>
    <font>
      <sz val="11"/>
      <color rgb="FFC00000"/>
      <name val="Calibri"/>
      <family val="2"/>
      <scheme val="minor"/>
    </font>
    <font>
      <b/>
      <sz val="9"/>
      <color indexed="81"/>
      <name val="Tahoma"/>
      <family val="2"/>
    </font>
    <font>
      <sz val="9"/>
      <color indexed="81"/>
      <name val="Tahoma"/>
      <family val="2"/>
    </font>
    <font>
      <b/>
      <sz val="14"/>
      <name val="Times New Roman"/>
      <family val="1"/>
    </font>
    <font>
      <u/>
      <sz val="11"/>
      <name val="Times New Roman"/>
      <family val="1"/>
    </font>
    <font>
      <sz val="12"/>
      <name val="Arial"/>
      <family val="2"/>
    </font>
    <font>
      <sz val="12"/>
      <name val="Times New Roman"/>
      <family val="1"/>
    </font>
    <font>
      <i/>
      <sz val="12"/>
      <name val="Arial"/>
      <family val="2"/>
    </font>
    <font>
      <i/>
      <sz val="11"/>
      <name val="Arial"/>
      <family val="2"/>
    </font>
    <font>
      <sz val="15"/>
      <name val="Times New Roman"/>
      <family val="1"/>
      <charset val="1"/>
    </font>
    <font>
      <sz val="12"/>
      <name val="Times New Roman"/>
      <family val="1"/>
      <charset val="1"/>
    </font>
    <font>
      <b/>
      <sz val="12"/>
      <name val="Times New Roman"/>
      <family val="1"/>
    </font>
    <font>
      <i/>
      <sz val="11"/>
      <name val="Times New Roman"/>
      <family val="1"/>
    </font>
    <font>
      <sz val="11"/>
      <name val="Arial"/>
      <family val="2"/>
    </font>
    <font>
      <b/>
      <i/>
      <sz val="11"/>
      <name val="Arial"/>
      <family val="2"/>
    </font>
    <font>
      <sz val="11"/>
      <color theme="1"/>
      <name val="Times New Roman"/>
      <family val="1"/>
      <charset val="1"/>
    </font>
    <font>
      <sz val="13"/>
      <color theme="1"/>
      <name val="Times New Roman"/>
      <family val="1"/>
      <charset val="1"/>
    </font>
    <font>
      <b/>
      <sz val="10"/>
      <name val="Times New Roman"/>
      <family val="1"/>
    </font>
    <font>
      <i/>
      <sz val="9"/>
      <color theme="1"/>
      <name val="Calibri"/>
      <family val="2"/>
      <scheme val="minor"/>
    </font>
    <font>
      <sz val="12"/>
      <color theme="1"/>
      <name val="Calibri"/>
      <family val="2"/>
      <scheme val="minor"/>
    </font>
    <font>
      <b/>
      <sz val="12"/>
      <color theme="1"/>
      <name val="Calibri"/>
      <family val="2"/>
      <scheme val="minor"/>
    </font>
    <font>
      <b/>
      <u/>
      <sz val="12"/>
      <color theme="1"/>
      <name val="Calibri"/>
      <family val="2"/>
      <scheme val="minor"/>
    </font>
    <font>
      <i/>
      <sz val="10"/>
      <color theme="1"/>
      <name val="Calibri"/>
      <family val="2"/>
      <scheme val="minor"/>
    </font>
    <font>
      <sz val="9"/>
      <color theme="1"/>
      <name val="Calibri"/>
      <family val="2"/>
      <scheme val="minor"/>
    </font>
    <font>
      <sz val="10"/>
      <name val="Calibri"/>
      <family val="2"/>
      <scheme val="minor"/>
    </font>
    <font>
      <sz val="12"/>
      <color theme="1"/>
      <name val="Times New Roman"/>
      <family val="1"/>
    </font>
    <font>
      <b/>
      <sz val="14"/>
      <color theme="1"/>
      <name val="Calibri"/>
      <family val="2"/>
      <scheme val="minor"/>
    </font>
    <font>
      <i/>
      <sz val="11"/>
      <color theme="1"/>
      <name val="Calibri"/>
      <family val="2"/>
      <scheme val="minor"/>
    </font>
    <font>
      <sz val="16"/>
      <color theme="1"/>
      <name val="Calibri"/>
      <family val="2"/>
      <scheme val="minor"/>
    </font>
    <font>
      <sz val="8"/>
      <color theme="1"/>
      <name val="Calibri"/>
      <family val="2"/>
      <scheme val="minor"/>
    </font>
    <font>
      <i/>
      <sz val="12"/>
      <color theme="1"/>
      <name val="Calibri"/>
      <family val="2"/>
      <scheme val="minor"/>
    </font>
    <font>
      <i/>
      <sz val="9"/>
      <color theme="1"/>
      <name val="Calibri "/>
    </font>
    <font>
      <i/>
      <sz val="9"/>
      <name val="Calibri "/>
    </font>
    <font>
      <sz val="12"/>
      <name val="Calibri"/>
      <family val="2"/>
      <scheme val="minor"/>
    </font>
    <font>
      <sz val="12"/>
      <color theme="1"/>
      <name val="Calibri Light"/>
      <family val="2"/>
      <scheme val="major"/>
    </font>
    <font>
      <sz val="9"/>
      <color theme="1"/>
      <name val="Calibri "/>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rgb="FFFFFFFF"/>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3"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bottom style="double">
        <color indexed="64"/>
      </bottom>
      <diagonal/>
    </border>
    <border>
      <left/>
      <right/>
      <top/>
      <bottom style="medium">
        <color indexed="64"/>
      </bottom>
      <diagonal/>
    </border>
  </borders>
  <cellStyleXfs count="9">
    <xf numFmtId="0" fontId="0" fillId="0" borderId="0"/>
    <xf numFmtId="9" fontId="1" fillId="0" borderId="0" applyFont="0" applyFill="0" applyBorder="0" applyAlignment="0" applyProtection="0"/>
    <xf numFmtId="0" fontId="6" fillId="0" borderId="0"/>
    <xf numFmtId="0" fontId="6" fillId="0" borderId="0"/>
    <xf numFmtId="0" fontId="6" fillId="0" borderId="0"/>
    <xf numFmtId="0" fontId="6" fillId="0" borderId="0"/>
    <xf numFmtId="0" fontId="9" fillId="0" borderId="0"/>
    <xf numFmtId="0" fontId="6" fillId="0" borderId="0"/>
    <xf numFmtId="0" fontId="1" fillId="0" borderId="0"/>
  </cellStyleXfs>
  <cellXfs count="485">
    <xf numFmtId="0" fontId="0" fillId="0" borderId="0" xfId="0"/>
    <xf numFmtId="0" fontId="3" fillId="0" borderId="0" xfId="0" applyFont="1"/>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0" xfId="0" applyFont="1"/>
    <xf numFmtId="0" fontId="6" fillId="0" borderId="0" xfId="2"/>
    <xf numFmtId="0" fontId="6" fillId="0" borderId="1" xfId="3" applyBorder="1" applyAlignment="1">
      <alignment horizontal="center" vertical="center"/>
    </xf>
    <xf numFmtId="0" fontId="7" fillId="0" borderId="1" xfId="4" applyFont="1" applyBorder="1" applyAlignment="1">
      <alignment horizontal="center"/>
    </xf>
    <xf numFmtId="0" fontId="7" fillId="2" borderId="1" xfId="4" applyFont="1" applyFill="1" applyBorder="1" applyAlignment="1">
      <alignment horizontal="center" vertical="center"/>
    </xf>
    <xf numFmtId="0" fontId="7" fillId="0" borderId="1" xfId="4" applyFont="1" applyBorder="1" applyAlignment="1">
      <alignment horizontal="center" vertical="center"/>
    </xf>
    <xf numFmtId="0" fontId="6" fillId="0" borderId="0" xfId="2" applyAlignment="1">
      <alignment horizontal="center"/>
    </xf>
    <xf numFmtId="0" fontId="6" fillId="3" borderId="1" xfId="3" applyFill="1" applyBorder="1" applyAlignment="1">
      <alignment horizontal="center" vertical="center"/>
    </xf>
    <xf numFmtId="0" fontId="7" fillId="3" borderId="1" xfId="5" applyFont="1" applyFill="1" applyBorder="1" applyAlignment="1">
      <alignment horizontal="center" vertical="center"/>
    </xf>
    <xf numFmtId="164" fontId="7" fillId="2" borderId="1" xfId="4" applyNumberFormat="1" applyFont="1" applyFill="1" applyBorder="1" applyAlignment="1">
      <alignment horizontal="center" vertical="center"/>
    </xf>
    <xf numFmtId="0" fontId="8" fillId="4" borderId="1" xfId="4" applyFont="1" applyFill="1" applyBorder="1" applyAlignment="1">
      <alignment horizontal="center"/>
    </xf>
    <xf numFmtId="0" fontId="7" fillId="0" borderId="0" xfId="3" applyFont="1"/>
    <xf numFmtId="0" fontId="7" fillId="0" borderId="0" xfId="4" applyFont="1"/>
    <xf numFmtId="0" fontId="7" fillId="0" borderId="0" xfId="4" applyFont="1" applyAlignment="1">
      <alignment horizontal="center"/>
    </xf>
    <xf numFmtId="0" fontId="7" fillId="0" borderId="0" xfId="4" applyFont="1" applyAlignment="1">
      <alignment horizontal="left"/>
    </xf>
    <xf numFmtId="0" fontId="8" fillId="0" borderId="0" xfId="4" applyFont="1" applyAlignment="1">
      <alignment horizontal="left"/>
    </xf>
    <xf numFmtId="0" fontId="7" fillId="0" borderId="0" xfId="3" applyFont="1" applyAlignment="1">
      <alignment horizontal="center"/>
    </xf>
    <xf numFmtId="0" fontId="3" fillId="0" borderId="0" xfId="6" applyFont="1"/>
    <xf numFmtId="0" fontId="7" fillId="3" borderId="1" xfId="4" applyFont="1" applyFill="1" applyBorder="1" applyAlignment="1">
      <alignment horizontal="center" vertical="center"/>
    </xf>
    <xf numFmtId="0" fontId="7" fillId="0" borderId="1" xfId="4" applyFont="1" applyBorder="1" applyAlignment="1">
      <alignment horizontal="center" vertical="center"/>
    </xf>
    <xf numFmtId="0" fontId="7" fillId="2" borderId="13" xfId="3" applyFont="1" applyFill="1" applyBorder="1" applyAlignment="1">
      <alignment horizontal="center" vertical="center"/>
    </xf>
    <xf numFmtId="0" fontId="7" fillId="2" borderId="14" xfId="3" applyFont="1" applyFill="1" applyBorder="1" applyAlignment="1">
      <alignment horizontal="center" vertical="center"/>
    </xf>
    <xf numFmtId="0" fontId="7" fillId="2" borderId="15" xfId="3" applyFont="1" applyFill="1" applyBorder="1" applyAlignment="1">
      <alignment horizontal="center" vertical="center"/>
    </xf>
    <xf numFmtId="0" fontId="8" fillId="4" borderId="1" xfId="4" applyFont="1" applyFill="1" applyBorder="1" applyAlignment="1">
      <alignment horizontal="center" vertical="center"/>
    </xf>
    <xf numFmtId="0" fontId="7" fillId="0" borderId="0" xfId="4" applyFont="1" applyAlignment="1">
      <alignment horizontal="center" vertical="center"/>
    </xf>
    <xf numFmtId="0" fontId="7" fillId="0" borderId="0" xfId="7" applyFont="1"/>
    <xf numFmtId="0" fontId="9" fillId="2" borderId="1" xfId="6" applyFill="1" applyBorder="1"/>
    <xf numFmtId="0" fontId="9" fillId="2" borderId="1" xfId="6" applyFill="1" applyBorder="1" applyAlignment="1">
      <alignment horizontal="center"/>
    </xf>
    <xf numFmtId="1" fontId="7" fillId="2" borderId="1" xfId="4" applyNumberFormat="1" applyFont="1" applyFill="1" applyBorder="1" applyAlignment="1">
      <alignment horizontal="center" vertical="center"/>
    </xf>
    <xf numFmtId="0" fontId="7" fillId="0" borderId="10" xfId="4" applyFont="1" applyBorder="1" applyAlignment="1">
      <alignment horizontal="left"/>
    </xf>
    <xf numFmtId="165" fontId="7" fillId="2" borderId="1" xfId="4" applyNumberFormat="1" applyFont="1" applyFill="1" applyBorder="1" applyAlignment="1">
      <alignment horizontal="center" vertical="center"/>
    </xf>
    <xf numFmtId="0" fontId="8" fillId="4" borderId="10" xfId="4" applyFont="1" applyFill="1" applyBorder="1" applyAlignment="1">
      <alignment horizontal="center" vertical="center"/>
    </xf>
    <xf numFmtId="0" fontId="8" fillId="0" borderId="0" xfId="4" applyFont="1" applyAlignment="1">
      <alignment horizontal="center"/>
    </xf>
    <xf numFmtId="0" fontId="8" fillId="0" borderId="0" xfId="4" applyFont="1"/>
    <xf numFmtId="15" fontId="7" fillId="6" borderId="1" xfId="4" applyNumberFormat="1" applyFont="1" applyFill="1" applyBorder="1" applyAlignment="1">
      <alignment horizontal="center" vertical="center"/>
    </xf>
    <xf numFmtId="0" fontId="7" fillId="6" borderId="1" xfId="4" applyFont="1" applyFill="1" applyBorder="1" applyAlignment="1">
      <alignment horizontal="center" vertical="center"/>
    </xf>
    <xf numFmtId="0" fontId="0" fillId="6" borderId="1" xfId="0" applyFill="1" applyBorder="1"/>
    <xf numFmtId="0" fontId="7" fillId="0" borderId="8" xfId="4" applyFont="1" applyBorder="1" applyAlignment="1">
      <alignment horizontal="left" vertical="center"/>
    </xf>
    <xf numFmtId="0" fontId="7" fillId="0" borderId="10" xfId="4" applyFont="1" applyBorder="1" applyAlignment="1">
      <alignment horizontal="left" vertical="center"/>
    </xf>
    <xf numFmtId="0" fontId="7" fillId="0" borderId="15" xfId="4" applyFont="1" applyBorder="1" applyAlignment="1">
      <alignment horizontal="center" vertical="center"/>
    </xf>
    <xf numFmtId="15" fontId="8" fillId="4" borderId="1" xfId="4" applyNumberFormat="1" applyFont="1" applyFill="1" applyBorder="1" applyAlignment="1">
      <alignment horizontal="center" vertical="center"/>
    </xf>
    <xf numFmtId="15" fontId="7" fillId="0" borderId="0" xfId="4" applyNumberFormat="1" applyFont="1" applyAlignment="1">
      <alignment horizontal="center" vertical="center"/>
    </xf>
    <xf numFmtId="49" fontId="7" fillId="0" borderId="0" xfId="4" applyNumberFormat="1" applyFont="1" applyAlignment="1">
      <alignment horizontal="left"/>
    </xf>
    <xf numFmtId="0" fontId="7" fillId="0" borderId="0" xfId="4" quotePrefix="1" applyFont="1" applyAlignment="1">
      <alignment horizontal="left"/>
    </xf>
    <xf numFmtId="0" fontId="11" fillId="0" borderId="0" xfId="4" applyFont="1" applyAlignment="1">
      <alignment horizontal="left"/>
    </xf>
    <xf numFmtId="0" fontId="12" fillId="0" borderId="0" xfId="4" applyFont="1" applyAlignment="1">
      <alignment horizontal="center"/>
    </xf>
    <xf numFmtId="0" fontId="12" fillId="0" borderId="0" xfId="4" applyFont="1"/>
    <xf numFmtId="0" fontId="12" fillId="0" borderId="0" xfId="4" applyFont="1" applyAlignment="1">
      <alignment horizontal="center"/>
    </xf>
    <xf numFmtId="0" fontId="4" fillId="0" borderId="1" xfId="0" applyFont="1" applyBorder="1" applyAlignment="1">
      <alignment horizontal="center" vertical="center"/>
    </xf>
    <xf numFmtId="0" fontId="7" fillId="0" borderId="1" xfId="3" applyFont="1" applyBorder="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2" fontId="0" fillId="0" borderId="1" xfId="0" applyNumberFormat="1" applyBorder="1" applyAlignment="1">
      <alignment horizontal="center"/>
    </xf>
    <xf numFmtId="0" fontId="2" fillId="0" borderId="0" xfId="0" applyFont="1"/>
    <xf numFmtId="0" fontId="13" fillId="0" borderId="0" xfId="0" applyFont="1"/>
    <xf numFmtId="0" fontId="8" fillId="0" borderId="0" xfId="4" applyFont="1" applyAlignment="1">
      <alignment vertical="center"/>
    </xf>
    <xf numFmtId="0" fontId="7" fillId="0" borderId="1" xfId="5" applyFont="1" applyBorder="1" applyAlignment="1">
      <alignment horizontal="center" vertical="center"/>
    </xf>
    <xf numFmtId="0" fontId="7" fillId="0" borderId="0" xfId="4" applyFont="1" applyAlignment="1">
      <alignment vertical="center"/>
    </xf>
    <xf numFmtId="0" fontId="14" fillId="0" borderId="0" xfId="0" applyFont="1" applyAlignment="1">
      <alignment vertical="center" readingOrder="1"/>
    </xf>
    <xf numFmtId="0" fontId="6" fillId="0" borderId="0" xfId="3"/>
    <xf numFmtId="0" fontId="15" fillId="2" borderId="13" xfId="3" applyFont="1" applyFill="1" applyBorder="1" applyAlignment="1">
      <alignment horizontal="center" vertical="center"/>
    </xf>
    <xf numFmtId="0" fontId="15" fillId="2" borderId="15" xfId="3" applyFont="1" applyFill="1" applyBorder="1" applyAlignment="1">
      <alignment horizontal="center" vertical="center"/>
    </xf>
    <xf numFmtId="0" fontId="0" fillId="9" borderId="1" xfId="0" applyFill="1" applyBorder="1" applyAlignment="1">
      <alignment horizontal="center" vertical="center"/>
    </xf>
    <xf numFmtId="0" fontId="15" fillId="2" borderId="14" xfId="3" applyFont="1" applyFill="1" applyBorder="1" applyAlignment="1">
      <alignment horizontal="center" vertical="center"/>
    </xf>
    <xf numFmtId="0" fontId="21" fillId="4" borderId="1" xfId="2" applyFont="1" applyFill="1" applyBorder="1" applyAlignment="1">
      <alignment horizontal="center"/>
    </xf>
    <xf numFmtId="0" fontId="8" fillId="4" borderId="1" xfId="3" applyFont="1" applyFill="1" applyBorder="1" applyAlignment="1">
      <alignment horizontal="center"/>
    </xf>
    <xf numFmtId="0" fontId="8" fillId="4" borderId="8" xfId="4" applyFont="1" applyFill="1" applyBorder="1" applyAlignment="1">
      <alignment horizontal="center" vertical="center"/>
    </xf>
    <xf numFmtId="0" fontId="8" fillId="4" borderId="9" xfId="4" applyFont="1" applyFill="1" applyBorder="1" applyAlignment="1">
      <alignment horizontal="center" vertical="center"/>
    </xf>
    <xf numFmtId="0" fontId="6" fillId="0" borderId="0" xfId="7"/>
    <xf numFmtId="0" fontId="9" fillId="0" borderId="0" xfId="6"/>
    <xf numFmtId="0" fontId="9" fillId="0" borderId="1" xfId="6" applyBorder="1" applyAlignment="1">
      <alignment horizontal="center"/>
    </xf>
    <xf numFmtId="165" fontId="9" fillId="0" borderId="1" xfId="6" applyNumberFormat="1" applyBorder="1" applyAlignment="1">
      <alignment horizontal="center"/>
    </xf>
    <xf numFmtId="165" fontId="7" fillId="0" borderId="1" xfId="3" applyNumberFormat="1" applyFont="1" applyBorder="1" applyAlignment="1">
      <alignment horizontal="center"/>
    </xf>
    <xf numFmtId="0" fontId="6" fillId="6" borderId="16" xfId="3" applyFill="1" applyBorder="1" applyAlignment="1">
      <alignment horizontal="center"/>
    </xf>
    <xf numFmtId="0" fontId="0" fillId="0" borderId="1" xfId="0" applyBorder="1" applyAlignment="1">
      <alignment horizontal="center" vertical="center"/>
    </xf>
    <xf numFmtId="0" fontId="26" fillId="0" borderId="0" xfId="0" applyFont="1" applyAlignment="1">
      <alignment horizontal="center"/>
    </xf>
    <xf numFmtId="0" fontId="7" fillId="0" borderId="0" xfId="4" applyFont="1" applyBorder="1" applyAlignment="1">
      <alignment horizontal="center" vertical="center"/>
    </xf>
    <xf numFmtId="0" fontId="15" fillId="0" borderId="0" xfId="3" applyFont="1" applyFill="1" applyBorder="1" applyAlignment="1">
      <alignment horizontal="center" vertical="center"/>
    </xf>
    <xf numFmtId="0" fontId="15" fillId="2" borderId="1" xfId="3" applyFont="1" applyFill="1" applyBorder="1" applyAlignment="1">
      <alignment horizontal="center" vertical="center"/>
    </xf>
    <xf numFmtId="9" fontId="7" fillId="0" borderId="0" xfId="4" applyNumberFormat="1" applyFont="1" applyFill="1" applyBorder="1" applyAlignment="1">
      <alignment horizontal="center" vertical="center"/>
    </xf>
    <xf numFmtId="0" fontId="6" fillId="0" borderId="0" xfId="2" applyFill="1" applyBorder="1" applyAlignment="1">
      <alignment horizontal="center" vertical="center"/>
    </xf>
    <xf numFmtId="0" fontId="16" fillId="0" borderId="0" xfId="4" applyFont="1" applyFill="1" applyBorder="1" applyAlignment="1">
      <alignment horizontal="center" vertical="center" wrapText="1"/>
    </xf>
    <xf numFmtId="0" fontId="16" fillId="0" borderId="0" xfId="4" applyFont="1" applyFill="1" applyBorder="1" applyAlignment="1">
      <alignment horizontal="left" vertical="center" wrapText="1"/>
    </xf>
    <xf numFmtId="0" fontId="7" fillId="0" borderId="0" xfId="4" applyFont="1" applyFill="1" applyBorder="1" applyAlignment="1">
      <alignment horizontal="center" vertical="center"/>
    </xf>
    <xf numFmtId="0" fontId="7" fillId="0" borderId="0" xfId="4" applyFont="1" applyFill="1"/>
    <xf numFmtId="0" fontId="6" fillId="0" borderId="0" xfId="3" applyFill="1"/>
    <xf numFmtId="0" fontId="4" fillId="0" borderId="0" xfId="0" applyFont="1" applyBorder="1" applyAlignment="1">
      <alignment horizontal="center" vertical="center" wrapText="1"/>
    </xf>
    <xf numFmtId="0" fontId="0" fillId="0" borderId="0" xfId="0" applyBorder="1" applyAlignment="1">
      <alignment vertical="center" wrapText="1"/>
    </xf>
    <xf numFmtId="0" fontId="4" fillId="0" borderId="0" xfId="0" applyFont="1" applyBorder="1" applyAlignment="1">
      <alignment horizontal="center" vertical="center"/>
    </xf>
    <xf numFmtId="0" fontId="5" fillId="0" borderId="0" xfId="0" applyFont="1" applyAlignment="1">
      <alignment horizontal="left" vertical="center"/>
    </xf>
    <xf numFmtId="0" fontId="5" fillId="0" borderId="1" xfId="0" applyFont="1" applyBorder="1" applyAlignment="1">
      <alignment horizontal="center"/>
    </xf>
    <xf numFmtId="0" fontId="29" fillId="0" borderId="0" xfId="4" applyFont="1" applyAlignment="1">
      <alignment horizontal="center" vertical="center"/>
    </xf>
    <xf numFmtId="2" fontId="0" fillId="0" borderId="1" xfId="0" applyNumberFormat="1" applyBorder="1" applyAlignment="1">
      <alignment horizontal="center" vertical="center" wrapText="1"/>
    </xf>
    <xf numFmtId="0" fontId="29" fillId="6" borderId="1" xfId="4" applyFont="1" applyFill="1" applyBorder="1" applyAlignment="1">
      <alignment horizontal="center" vertical="center"/>
    </xf>
    <xf numFmtId="0" fontId="29" fillId="0" borderId="1" xfId="4" applyFont="1" applyBorder="1" applyAlignment="1">
      <alignment horizontal="center" vertical="center"/>
    </xf>
    <xf numFmtId="0" fontId="3" fillId="4" borderId="1" xfId="0" applyFont="1" applyFill="1" applyBorder="1"/>
    <xf numFmtId="0" fontId="3" fillId="4" borderId="1" xfId="0" applyFont="1" applyFill="1" applyBorder="1" applyAlignment="1">
      <alignment horizontal="center" vertical="center"/>
    </xf>
    <xf numFmtId="0" fontId="0" fillId="4" borderId="1" xfId="0" applyFill="1" applyBorder="1" applyAlignment="1">
      <alignment horizontal="center"/>
    </xf>
    <xf numFmtId="0" fontId="0" fillId="0" borderId="0" xfId="0" applyAlignment="1">
      <alignment horizontal="center"/>
    </xf>
    <xf numFmtId="2" fontId="0" fillId="0" borderId="1" xfId="0" applyNumberFormat="1" applyBorder="1" applyAlignment="1">
      <alignment horizontal="center" vertical="center"/>
    </xf>
    <xf numFmtId="0" fontId="0" fillId="4" borderId="8" xfId="0" applyFill="1" applyBorder="1" applyAlignment="1">
      <alignment horizontal="center"/>
    </xf>
    <xf numFmtId="165" fontId="0" fillId="8" borderId="1" xfId="0" applyNumberFormat="1" applyFill="1" applyBorder="1" applyAlignment="1">
      <alignment horizontal="center"/>
    </xf>
    <xf numFmtId="2" fontId="0" fillId="0" borderId="0" xfId="0" applyNumberFormat="1"/>
    <xf numFmtId="0" fontId="0" fillId="6" borderId="1" xfId="0" applyFill="1" applyBorder="1" applyAlignment="1">
      <alignment horizontal="center"/>
    </xf>
    <xf numFmtId="0" fontId="0" fillId="6" borderId="8" xfId="0" applyFill="1" applyBorder="1" applyAlignment="1">
      <alignment horizontal="center"/>
    </xf>
    <xf numFmtId="165" fontId="0" fillId="6" borderId="1" xfId="0" applyNumberFormat="1" applyFill="1" applyBorder="1" applyAlignment="1">
      <alignment horizontal="center"/>
    </xf>
    <xf numFmtId="15" fontId="0" fillId="0" borderId="1" xfId="0" applyNumberFormat="1" applyBorder="1"/>
    <xf numFmtId="0" fontId="3" fillId="0" borderId="0" xfId="8" applyFont="1"/>
    <xf numFmtId="0" fontId="7" fillId="0" borderId="0" xfId="8" applyFont="1"/>
    <xf numFmtId="0" fontId="30" fillId="0" borderId="0" xfId="8" applyFont="1"/>
    <xf numFmtId="0" fontId="5" fillId="0" borderId="0" xfId="8" applyFont="1"/>
    <xf numFmtId="0" fontId="31" fillId="0" borderId="0" xfId="3" applyFont="1"/>
    <xf numFmtId="0" fontId="32" fillId="0" borderId="0" xfId="3" applyFont="1" applyAlignment="1">
      <alignment horizontal="left" vertical="top" wrapText="1"/>
    </xf>
    <xf numFmtId="0" fontId="7" fillId="0" borderId="0" xfId="3" applyFont="1" applyAlignment="1">
      <alignment vertical="top"/>
    </xf>
    <xf numFmtId="0" fontId="33" fillId="0" borderId="0" xfId="3" applyFont="1"/>
    <xf numFmtId="0" fontId="34" fillId="0" borderId="0" xfId="3" applyFont="1"/>
    <xf numFmtId="0" fontId="35" fillId="0" borderId="0" xfId="4" applyFont="1"/>
    <xf numFmtId="0" fontId="36" fillId="0" borderId="0" xfId="4" applyFont="1"/>
    <xf numFmtId="0" fontId="37" fillId="0" borderId="0" xfId="4" applyFont="1"/>
    <xf numFmtId="0" fontId="38" fillId="0" borderId="0" xfId="3" applyFont="1" applyAlignment="1">
      <alignment horizontal="left"/>
    </xf>
    <xf numFmtId="0" fontId="39" fillId="0" borderId="0" xfId="3" applyFont="1"/>
    <xf numFmtId="0" fontId="40" fillId="0" borderId="0" xfId="3" applyFont="1"/>
    <xf numFmtId="0" fontId="8" fillId="0" borderId="0" xfId="3" quotePrefix="1" applyFont="1"/>
    <xf numFmtId="0" fontId="8" fillId="0" borderId="0" xfId="3" applyFont="1" applyAlignment="1">
      <alignment horizontal="left"/>
    </xf>
    <xf numFmtId="0" fontId="7" fillId="0" borderId="0" xfId="3" applyFont="1" applyAlignment="1">
      <alignment horizontal="left"/>
    </xf>
    <xf numFmtId="0" fontId="8" fillId="0" borderId="0" xfId="3" applyFont="1"/>
    <xf numFmtId="2" fontId="7" fillId="0" borderId="1" xfId="3" applyNumberFormat="1" applyFont="1" applyBorder="1" applyAlignment="1">
      <alignment horizontal="center" vertical="center"/>
    </xf>
    <xf numFmtId="2" fontId="3" fillId="0" borderId="1" xfId="8" applyNumberFormat="1" applyFont="1" applyBorder="1" applyAlignment="1">
      <alignment horizontal="center"/>
    </xf>
    <xf numFmtId="0" fontId="22" fillId="0" borderId="0" xfId="4" applyFont="1"/>
    <xf numFmtId="0" fontId="7" fillId="0" borderId="0" xfId="4" applyFont="1" applyAlignment="1">
      <alignment vertical="center" wrapText="1"/>
    </xf>
    <xf numFmtId="0" fontId="8" fillId="0" borderId="1" xfId="4" applyFont="1" applyBorder="1" applyAlignment="1">
      <alignment horizontal="center"/>
    </xf>
    <xf numFmtId="0" fontId="16" fillId="0" borderId="0" xfId="4" applyFont="1" applyAlignment="1">
      <alignment horizontal="center" vertical="center" wrapText="1"/>
    </xf>
    <xf numFmtId="0" fontId="43" fillId="0" borderId="1" xfId="4" applyFont="1" applyBorder="1" applyAlignment="1">
      <alignment horizontal="center" vertical="center"/>
    </xf>
    <xf numFmtId="165" fontId="7" fillId="0" borderId="1" xfId="4" applyNumberFormat="1" applyFont="1" applyBorder="1" applyAlignment="1">
      <alignment horizontal="center"/>
    </xf>
    <xf numFmtId="0" fontId="7" fillId="0" borderId="10" xfId="4" applyFont="1" applyBorder="1" applyAlignment="1">
      <alignment horizontal="center"/>
    </xf>
    <xf numFmtId="0" fontId="8" fillId="0" borderId="1" xfId="4" applyFont="1" applyBorder="1"/>
    <xf numFmtId="0" fontId="8" fillId="0" borderId="10" xfId="4" applyFont="1" applyBorder="1"/>
    <xf numFmtId="0" fontId="8" fillId="0" borderId="10" xfId="4" applyFont="1" applyBorder="1" applyAlignment="1">
      <alignment horizontal="center" vertical="center"/>
    </xf>
    <xf numFmtId="15" fontId="7" fillId="0" borderId="1" xfId="4" applyNumberFormat="1" applyFont="1" applyBorder="1" applyAlignment="1">
      <alignment horizontal="center" vertical="center"/>
    </xf>
    <xf numFmtId="0" fontId="8" fillId="0" borderId="1" xfId="4" applyFont="1" applyBorder="1" applyAlignment="1">
      <alignment horizontal="center" vertical="center"/>
    </xf>
    <xf numFmtId="15" fontId="8" fillId="0" borderId="1" xfId="4" applyNumberFormat="1" applyFont="1" applyBorder="1" applyAlignment="1">
      <alignment horizontal="center" vertical="center"/>
    </xf>
    <xf numFmtId="0" fontId="7" fillId="0" borderId="1" xfId="4" applyFont="1" applyBorder="1" applyAlignment="1">
      <alignment horizontal="left"/>
    </xf>
    <xf numFmtId="0" fontId="7" fillId="0" borderId="0" xfId="3" applyFont="1" applyBorder="1" applyAlignment="1">
      <alignment vertical="center"/>
    </xf>
    <xf numFmtId="1" fontId="7" fillId="0" borderId="0" xfId="3" applyNumberFormat="1" applyFont="1" applyBorder="1" applyAlignment="1">
      <alignment horizontal="center"/>
    </xf>
    <xf numFmtId="0" fontId="7" fillId="0" borderId="0" xfId="3" applyFont="1" applyBorder="1" applyAlignment="1">
      <alignment horizontal="center"/>
    </xf>
    <xf numFmtId="2" fontId="3" fillId="0" borderId="0" xfId="8" applyNumberFormat="1" applyFont="1" applyBorder="1" applyAlignment="1">
      <alignment horizontal="center"/>
    </xf>
    <xf numFmtId="2" fontId="41" fillId="0" borderId="0" xfId="8" applyNumberFormat="1" applyFont="1" applyBorder="1" applyAlignment="1">
      <alignment horizontal="center" vertical="center"/>
    </xf>
    <xf numFmtId="2" fontId="7" fillId="0" borderId="1" xfId="3" applyNumberFormat="1" applyFont="1" applyBorder="1" applyAlignment="1">
      <alignment horizontal="center"/>
    </xf>
    <xf numFmtId="0" fontId="5" fillId="0" borderId="1" xfId="8" applyFont="1" applyBorder="1" applyAlignment="1">
      <alignment horizontal="center" vertical="center"/>
    </xf>
    <xf numFmtId="0" fontId="1" fillId="0" borderId="0" xfId="6" applyFont="1"/>
    <xf numFmtId="0" fontId="44" fillId="0" borderId="0" xfId="6" applyFont="1" applyAlignment="1">
      <alignment vertical="top"/>
    </xf>
    <xf numFmtId="0" fontId="45" fillId="0" borderId="0" xfId="6" applyFont="1"/>
    <xf numFmtId="0" fontId="46" fillId="0" borderId="0" xfId="6" applyFont="1"/>
    <xf numFmtId="0" fontId="48" fillId="0" borderId="0" xfId="6" applyFont="1"/>
    <xf numFmtId="0" fontId="49" fillId="0" borderId="0" xfId="6" applyFont="1"/>
    <xf numFmtId="0" fontId="1" fillId="0" borderId="0" xfId="6" applyFont="1" applyAlignment="1">
      <alignment horizontal="center"/>
    </xf>
    <xf numFmtId="0" fontId="44" fillId="0" borderId="0" xfId="6" applyFont="1"/>
    <xf numFmtId="0" fontId="0" fillId="0" borderId="0" xfId="6" applyFont="1"/>
    <xf numFmtId="1" fontId="1" fillId="0" borderId="0" xfId="6" applyNumberFormat="1" applyFont="1" applyAlignment="1">
      <alignment horizontal="center"/>
    </xf>
    <xf numFmtId="0" fontId="50" fillId="0" borderId="0" xfId="2" applyFont="1"/>
    <xf numFmtId="0" fontId="51" fillId="0" borderId="0" xfId="8" applyFont="1"/>
    <xf numFmtId="0" fontId="32" fillId="0" borderId="0" xfId="6" applyFont="1"/>
    <xf numFmtId="0" fontId="52" fillId="0" borderId="0" xfId="6" applyFont="1" applyAlignment="1">
      <alignment vertical="top"/>
    </xf>
    <xf numFmtId="0" fontId="45" fillId="0" borderId="0" xfId="6" applyFont="1" applyAlignment="1">
      <alignment vertical="top"/>
    </xf>
    <xf numFmtId="0" fontId="2" fillId="0" borderId="0" xfId="6" applyFont="1"/>
    <xf numFmtId="0" fontId="52" fillId="0" borderId="0" xfId="6" applyFont="1"/>
    <xf numFmtId="0" fontId="55" fillId="0" borderId="0" xfId="6" applyFont="1"/>
    <xf numFmtId="0" fontId="55" fillId="0" borderId="17" xfId="0" applyFont="1" applyBorder="1"/>
    <xf numFmtId="0" fontId="1" fillId="0" borderId="17" xfId="0" applyFont="1" applyBorder="1"/>
    <xf numFmtId="0" fontId="55" fillId="0" borderId="0" xfId="0" applyFont="1"/>
    <xf numFmtId="0" fontId="1" fillId="0" borderId="0" xfId="0" applyFont="1"/>
    <xf numFmtId="0" fontId="56" fillId="0" borderId="0" xfId="6" applyFont="1" applyAlignment="1">
      <alignment vertical="center"/>
    </xf>
    <xf numFmtId="0" fontId="45" fillId="0" borderId="0" xfId="6" applyFont="1" applyAlignment="1">
      <alignment vertical="center"/>
    </xf>
    <xf numFmtId="0" fontId="45" fillId="0" borderId="0" xfId="6" applyFont="1" applyAlignment="1">
      <alignment horizontal="center" vertical="center"/>
    </xf>
    <xf numFmtId="0" fontId="45" fillId="0" borderId="0" xfId="6" applyFont="1" applyAlignment="1">
      <alignment horizontal="center"/>
    </xf>
    <xf numFmtId="0" fontId="0" fillId="0" borderId="0" xfId="6" applyFont="1" applyAlignment="1">
      <alignment vertical="top"/>
    </xf>
    <xf numFmtId="0" fontId="45" fillId="0" borderId="0" xfId="6" applyFont="1" applyAlignment="1">
      <alignment horizontal="left"/>
    </xf>
    <xf numFmtId="0" fontId="60" fillId="0" borderId="1" xfId="6" applyFont="1" applyBorder="1" applyAlignment="1">
      <alignment horizontal="center"/>
    </xf>
    <xf numFmtId="0" fontId="53" fillId="0" borderId="0" xfId="6" applyFont="1"/>
    <xf numFmtId="0" fontId="55" fillId="0" borderId="0" xfId="6" applyFont="1" applyAlignment="1">
      <alignment horizontal="center"/>
    </xf>
    <xf numFmtId="165" fontId="17" fillId="0" borderId="0" xfId="6" applyNumberFormat="1" applyFont="1" applyAlignment="1">
      <alignment horizontal="center"/>
    </xf>
    <xf numFmtId="0" fontId="1" fillId="0" borderId="0" xfId="6" applyFont="1" applyAlignment="1">
      <alignment horizontal="right"/>
    </xf>
    <xf numFmtId="165" fontId="1" fillId="0" borderId="0" xfId="6" applyNumberFormat="1" applyFont="1"/>
    <xf numFmtId="165" fontId="1" fillId="0" borderId="0" xfId="6" applyNumberFormat="1" applyFont="1" applyAlignment="1">
      <alignment horizontal="right"/>
    </xf>
    <xf numFmtId="0" fontId="1" fillId="0" borderId="18" xfId="6" applyFont="1" applyBorder="1"/>
    <xf numFmtId="0" fontId="44" fillId="0" borderId="18" xfId="6" applyFont="1" applyBorder="1" applyAlignment="1">
      <alignment vertical="top"/>
    </xf>
    <xf numFmtId="0" fontId="45" fillId="0" borderId="18" xfId="6" applyFont="1" applyBorder="1"/>
    <xf numFmtId="169" fontId="1" fillId="0" borderId="0" xfId="6" applyNumberFormat="1" applyFont="1"/>
    <xf numFmtId="0" fontId="1" fillId="0" borderId="0" xfId="6" applyFont="1" applyAlignment="1">
      <alignment horizontal="left"/>
    </xf>
    <xf numFmtId="2" fontId="1" fillId="0" borderId="0" xfId="6" applyNumberFormat="1" applyFont="1" applyAlignment="1">
      <alignment horizontal="left"/>
    </xf>
    <xf numFmtId="2" fontId="45" fillId="0" borderId="0" xfId="6" applyNumberFormat="1" applyFont="1" applyBorder="1" applyAlignment="1">
      <alignment horizontal="center" vertical="top"/>
    </xf>
    <xf numFmtId="0" fontId="45" fillId="0" borderId="0" xfId="6" applyFont="1" applyBorder="1" applyAlignment="1">
      <alignment horizontal="center" vertical="top"/>
    </xf>
    <xf numFmtId="0" fontId="45" fillId="0" borderId="0" xfId="6" applyFont="1" applyBorder="1"/>
    <xf numFmtId="2" fontId="1" fillId="0" borderId="0" xfId="6" applyNumberFormat="1" applyFont="1" applyBorder="1" applyAlignment="1">
      <alignment horizontal="center"/>
    </xf>
    <xf numFmtId="0" fontId="1" fillId="0" borderId="0" xfId="6" applyFont="1" applyBorder="1" applyAlignment="1">
      <alignment horizontal="center"/>
    </xf>
    <xf numFmtId="0" fontId="1" fillId="0" borderId="0" xfId="6" applyFont="1" applyBorder="1"/>
    <xf numFmtId="0" fontId="0" fillId="0" borderId="1" xfId="0" applyBorder="1" applyAlignment="1">
      <alignment horizontal="center"/>
    </xf>
    <xf numFmtId="0" fontId="45" fillId="0" borderId="0" xfId="6" applyFont="1"/>
    <xf numFmtId="0" fontId="7" fillId="0" borderId="1" xfId="3" applyFont="1" applyBorder="1" applyAlignment="1">
      <alignment horizontal="center"/>
    </xf>
    <xf numFmtId="166" fontId="7" fillId="0" borderId="1" xfId="3" applyNumberFormat="1" applyFont="1" applyBorder="1" applyAlignment="1">
      <alignment horizontal="center"/>
    </xf>
    <xf numFmtId="167" fontId="7" fillId="0" borderId="1" xfId="3" applyNumberFormat="1" applyFont="1" applyBorder="1" applyAlignment="1">
      <alignment horizontal="center"/>
    </xf>
    <xf numFmtId="10" fontId="0" fillId="0" borderId="1" xfId="0" applyNumberFormat="1" applyBorder="1" applyAlignment="1">
      <alignment horizontal="center"/>
    </xf>
    <xf numFmtId="0" fontId="45" fillId="0" borderId="0" xfId="0" applyFont="1"/>
    <xf numFmtId="0" fontId="45" fillId="0" borderId="0" xfId="6" applyFont="1"/>
    <xf numFmtId="0" fontId="7" fillId="0" borderId="1" xfId="4" applyFont="1" applyBorder="1" applyAlignment="1">
      <alignment horizontal="left" vertical="center" wrapText="1"/>
    </xf>
    <xf numFmtId="0" fontId="7" fillId="0" borderId="1" xfId="4" applyFont="1" applyBorder="1"/>
    <xf numFmtId="0" fontId="8" fillId="4" borderId="1" xfId="4" applyFont="1" applyFill="1" applyBorder="1" applyAlignment="1">
      <alignment horizontal="center" vertical="center"/>
    </xf>
    <xf numFmtId="0" fontId="8" fillId="4" borderId="1" xfId="4" applyFont="1" applyFill="1" applyBorder="1" applyAlignment="1">
      <alignment horizontal="center"/>
    </xf>
    <xf numFmtId="0" fontId="8" fillId="4" borderId="7" xfId="4" applyFont="1" applyFill="1" applyBorder="1" applyAlignment="1">
      <alignment horizontal="center" vertical="center"/>
    </xf>
    <xf numFmtId="0" fontId="8" fillId="4" borderId="6" xfId="4" applyFont="1" applyFill="1" applyBorder="1" applyAlignment="1">
      <alignment horizontal="center" vertical="center"/>
    </xf>
    <xf numFmtId="0" fontId="8" fillId="4" borderId="5" xfId="4" applyFont="1" applyFill="1" applyBorder="1" applyAlignment="1">
      <alignment horizontal="center" vertical="center"/>
    </xf>
    <xf numFmtId="0" fontId="8" fillId="4" borderId="4" xfId="4" applyFont="1" applyFill="1" applyBorder="1" applyAlignment="1">
      <alignment horizontal="center" vertical="center"/>
    </xf>
    <xf numFmtId="0" fontId="8" fillId="4" borderId="3" xfId="4" applyFont="1" applyFill="1" applyBorder="1" applyAlignment="1">
      <alignment horizontal="center" vertical="center"/>
    </xf>
    <xf numFmtId="0" fontId="8" fillId="4" borderId="2" xfId="4" applyFont="1" applyFill="1" applyBorder="1" applyAlignment="1">
      <alignment horizontal="center" vertical="center"/>
    </xf>
    <xf numFmtId="0" fontId="7" fillId="2" borderId="10" xfId="4" applyFont="1" applyFill="1" applyBorder="1" applyAlignment="1">
      <alignment horizontal="center"/>
    </xf>
    <xf numFmtId="0" fontId="7" fillId="2" borderId="8" xfId="4" applyFont="1" applyFill="1" applyBorder="1" applyAlignment="1">
      <alignment horizontal="center"/>
    </xf>
    <xf numFmtId="0" fontId="7" fillId="2" borderId="15" xfId="3" applyFont="1" applyFill="1" applyBorder="1" applyAlignment="1">
      <alignment horizontal="center" vertical="center"/>
    </xf>
    <xf numFmtId="0" fontId="7" fillId="2" borderId="13" xfId="3" applyFont="1" applyFill="1" applyBorder="1" applyAlignment="1">
      <alignment horizontal="center" vertical="center"/>
    </xf>
    <xf numFmtId="0" fontId="7" fillId="2" borderId="14" xfId="3" applyFont="1" applyFill="1" applyBorder="1" applyAlignment="1">
      <alignment horizontal="center" vertical="center"/>
    </xf>
    <xf numFmtId="0" fontId="7" fillId="3" borderId="1" xfId="4" applyFont="1" applyFill="1" applyBorder="1" applyAlignment="1">
      <alignment vertical="center" wrapText="1"/>
    </xf>
    <xf numFmtId="0" fontId="7" fillId="0" borderId="10" xfId="4" applyFont="1" applyBorder="1" applyAlignment="1">
      <alignment horizontal="left"/>
    </xf>
    <xf numFmtId="0" fontId="7" fillId="0" borderId="9" xfId="4" applyFont="1" applyBorder="1" applyAlignment="1">
      <alignment horizontal="left"/>
    </xf>
    <xf numFmtId="0" fontId="7" fillId="0" borderId="8" xfId="4" applyFont="1" applyBorder="1" applyAlignment="1">
      <alignment horizontal="left"/>
    </xf>
    <xf numFmtId="0" fontId="7" fillId="0" borderId="10" xfId="4" applyFont="1" applyBorder="1" applyAlignment="1">
      <alignment horizontal="left" vertical="center"/>
    </xf>
    <xf numFmtId="0" fontId="7" fillId="0" borderId="9" xfId="4" applyFont="1" applyBorder="1" applyAlignment="1">
      <alignment horizontal="left" vertical="center"/>
    </xf>
    <xf numFmtId="0" fontId="7" fillId="0" borderId="8" xfId="4" applyFont="1" applyBorder="1" applyAlignment="1">
      <alignment horizontal="left" vertical="center"/>
    </xf>
    <xf numFmtId="0" fontId="7" fillId="0" borderId="7" xfId="4" applyFont="1" applyBorder="1" applyAlignment="1">
      <alignment horizontal="left" vertical="center"/>
    </xf>
    <xf numFmtId="0" fontId="7" fillId="0" borderId="6" xfId="4" applyFont="1" applyBorder="1" applyAlignment="1">
      <alignment horizontal="left" vertical="center"/>
    </xf>
    <xf numFmtId="0" fontId="7" fillId="0" borderId="5" xfId="4" applyFont="1" applyBorder="1" applyAlignment="1">
      <alignment horizontal="left" vertical="center"/>
    </xf>
    <xf numFmtId="0" fontId="7" fillId="0" borderId="12" xfId="4" applyFont="1" applyBorder="1" applyAlignment="1">
      <alignment horizontal="left" vertical="center"/>
    </xf>
    <xf numFmtId="0" fontId="7" fillId="0" borderId="0" xfId="4" applyFont="1" applyAlignment="1">
      <alignment horizontal="left" vertical="center"/>
    </xf>
    <xf numFmtId="0" fontId="7" fillId="0" borderId="11" xfId="4" applyFont="1" applyBorder="1" applyAlignment="1">
      <alignment horizontal="left" vertical="center"/>
    </xf>
    <xf numFmtId="0" fontId="7" fillId="0" borderId="4" xfId="4" applyFont="1" applyBorder="1" applyAlignment="1">
      <alignment horizontal="left" vertical="center"/>
    </xf>
    <xf numFmtId="0" fontId="7" fillId="0" borderId="3" xfId="4" applyFont="1" applyBorder="1" applyAlignment="1">
      <alignment horizontal="left" vertical="center"/>
    </xf>
    <xf numFmtId="0" fontId="7" fillId="0" borderId="2" xfId="4" applyFont="1" applyBorder="1" applyAlignment="1">
      <alignment horizontal="left" vertical="center"/>
    </xf>
    <xf numFmtId="0" fontId="7" fillId="2" borderId="10" xfId="4" quotePrefix="1" applyFont="1" applyFill="1" applyBorder="1" applyAlignment="1">
      <alignment horizontal="center"/>
    </xf>
    <xf numFmtId="0" fontId="7" fillId="2" borderId="8" xfId="4" quotePrefix="1" applyFont="1" applyFill="1" applyBorder="1" applyAlignment="1">
      <alignment horizontal="center"/>
    </xf>
    <xf numFmtId="0" fontId="7" fillId="0" borderId="1" xfId="4" applyFont="1" applyBorder="1" applyAlignment="1">
      <alignment horizontal="center" vertical="center" wrapText="1"/>
    </xf>
    <xf numFmtId="0" fontId="8" fillId="4" borderId="10" xfId="4" applyFont="1" applyFill="1" applyBorder="1" applyAlignment="1">
      <alignment horizontal="center"/>
    </xf>
    <xf numFmtId="0" fontId="8" fillId="4" borderId="8" xfId="4" applyFont="1" applyFill="1" applyBorder="1" applyAlignment="1">
      <alignment horizontal="center"/>
    </xf>
    <xf numFmtId="0" fontId="7" fillId="0" borderId="1" xfId="4" applyFont="1" applyBorder="1" applyAlignment="1">
      <alignment horizontal="center" vertical="center"/>
    </xf>
    <xf numFmtId="0" fontId="7" fillId="0" borderId="15" xfId="4" applyFont="1" applyBorder="1" applyAlignment="1">
      <alignment horizontal="center" vertical="center"/>
    </xf>
    <xf numFmtId="0" fontId="7" fillId="0" borderId="14" xfId="4" applyFont="1" applyBorder="1" applyAlignment="1">
      <alignment horizontal="center" vertical="center"/>
    </xf>
    <xf numFmtId="0" fontId="7" fillId="0" borderId="13" xfId="4" applyFont="1" applyBorder="1" applyAlignment="1">
      <alignment horizontal="center" vertical="center"/>
    </xf>
    <xf numFmtId="0" fontId="8" fillId="4" borderId="10" xfId="4" applyFont="1" applyFill="1" applyBorder="1" applyAlignment="1">
      <alignment horizontal="center" vertical="center"/>
    </xf>
    <xf numFmtId="0" fontId="8" fillId="4" borderId="8" xfId="4" applyFont="1" applyFill="1" applyBorder="1" applyAlignment="1">
      <alignment horizontal="center" vertical="center"/>
    </xf>
    <xf numFmtId="0" fontId="8" fillId="4" borderId="9" xfId="4" applyFont="1" applyFill="1" applyBorder="1" applyAlignment="1">
      <alignment horizontal="center" vertical="center"/>
    </xf>
    <xf numFmtId="0" fontId="10" fillId="0" borderId="1" xfId="3" applyFont="1" applyBorder="1" applyAlignment="1">
      <alignment vertical="center" wrapText="1"/>
    </xf>
    <xf numFmtId="0" fontId="7" fillId="3" borderId="1" xfId="4" applyFont="1" applyFill="1" applyBorder="1" applyAlignment="1">
      <alignment horizontal="center" vertical="center"/>
    </xf>
    <xf numFmtId="0" fontId="7" fillId="3" borderId="15" xfId="4" applyFont="1" applyFill="1" applyBorder="1" applyAlignment="1">
      <alignment horizontal="center" vertical="center"/>
    </xf>
    <xf numFmtId="0" fontId="7" fillId="3" borderId="13" xfId="4" applyFont="1" applyFill="1" applyBorder="1" applyAlignment="1">
      <alignment horizontal="center" vertical="center"/>
    </xf>
    <xf numFmtId="0" fontId="7" fillId="5" borderId="7" xfId="3" applyFont="1" applyFill="1" applyBorder="1" applyAlignment="1">
      <alignment vertical="center" wrapText="1"/>
    </xf>
    <xf numFmtId="0" fontId="7" fillId="5" borderId="6" xfId="3" applyFont="1" applyFill="1" applyBorder="1" applyAlignment="1">
      <alignment vertical="center" wrapText="1"/>
    </xf>
    <xf numFmtId="0" fontId="7" fillId="5" borderId="5" xfId="3" applyFont="1" applyFill="1" applyBorder="1" applyAlignment="1">
      <alignment vertical="center" wrapText="1"/>
    </xf>
    <xf numFmtId="0" fontId="7" fillId="5" borderId="12" xfId="3" applyFont="1" applyFill="1" applyBorder="1" applyAlignment="1">
      <alignment vertical="center" wrapText="1"/>
    </xf>
    <xf numFmtId="0" fontId="7" fillId="5" borderId="0" xfId="3" applyFont="1" applyFill="1" applyAlignment="1">
      <alignment vertical="center" wrapText="1"/>
    </xf>
    <xf numFmtId="0" fontId="7" fillId="5" borderId="11" xfId="3" applyFont="1" applyFill="1" applyBorder="1" applyAlignment="1">
      <alignment vertical="center" wrapText="1"/>
    </xf>
    <xf numFmtId="0" fontId="7" fillId="5" borderId="4" xfId="3" applyFont="1" applyFill="1" applyBorder="1" applyAlignment="1">
      <alignment vertical="center" wrapText="1"/>
    </xf>
    <xf numFmtId="0" fontId="7" fillId="5" borderId="3" xfId="3" applyFont="1" applyFill="1" applyBorder="1" applyAlignment="1">
      <alignment vertical="center" wrapText="1"/>
    </xf>
    <xf numFmtId="0" fontId="7" fillId="5" borderId="2" xfId="3" applyFont="1" applyFill="1" applyBorder="1" applyAlignment="1">
      <alignment vertical="center" wrapText="1"/>
    </xf>
    <xf numFmtId="0" fontId="3" fillId="0" borderId="1" xfId="3" applyFont="1" applyBorder="1" applyAlignment="1">
      <alignment vertical="center" wrapText="1"/>
    </xf>
    <xf numFmtId="0" fontId="12" fillId="0" borderId="0" xfId="4" applyFont="1" applyAlignment="1">
      <alignment horizontal="center"/>
    </xf>
    <xf numFmtId="0" fontId="7" fillId="2" borderId="10" xfId="4" applyFont="1" applyFill="1" applyBorder="1" applyAlignment="1">
      <alignment horizontal="left"/>
    </xf>
    <xf numFmtId="0" fontId="7" fillId="2" borderId="8" xfId="4" applyFont="1" applyFill="1" applyBorder="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9" borderId="10" xfId="0" applyFill="1" applyBorder="1" applyAlignment="1">
      <alignment horizontal="center" vertical="center"/>
    </xf>
    <xf numFmtId="0" fontId="0" fillId="9" borderId="8" xfId="0"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0" fillId="9" borderId="15" xfId="0" applyFill="1" applyBorder="1" applyAlignment="1">
      <alignment horizontal="center" vertical="center"/>
    </xf>
    <xf numFmtId="0" fontId="0" fillId="9" borderId="13" xfId="0" applyFill="1" applyBorder="1" applyAlignment="1">
      <alignment horizontal="center" vertical="center"/>
    </xf>
    <xf numFmtId="0" fontId="0" fillId="9" borderId="9" xfId="0" applyFill="1" applyBorder="1" applyAlignment="1">
      <alignment horizontal="center" vertical="center"/>
    </xf>
    <xf numFmtId="0" fontId="13" fillId="0" borderId="0" xfId="0" applyFont="1" applyAlignment="1">
      <alignment horizontal="left"/>
    </xf>
    <xf numFmtId="0" fontId="16" fillId="0" borderId="1" xfId="4" applyFont="1" applyBorder="1" applyAlignment="1">
      <alignment horizontal="center" vertical="center" wrapText="1"/>
    </xf>
    <xf numFmtId="0" fontId="16" fillId="3" borderId="1" xfId="4" applyFont="1" applyFill="1" applyBorder="1" applyAlignment="1">
      <alignment horizontal="left" vertical="center" wrapText="1"/>
    </xf>
    <xf numFmtId="0" fontId="2" fillId="4" borderId="1" xfId="0" applyFont="1" applyFill="1" applyBorder="1" applyAlignment="1">
      <alignment horizontal="center" vertical="center"/>
    </xf>
    <xf numFmtId="1" fontId="6" fillId="6" borderId="15" xfId="5" applyNumberFormat="1" applyFill="1" applyBorder="1" applyAlignment="1">
      <alignment horizontal="center" vertical="center"/>
    </xf>
    <xf numFmtId="1" fontId="6" fillId="6" borderId="14" xfId="5" applyNumberFormat="1" applyFill="1" applyBorder="1" applyAlignment="1">
      <alignment horizontal="center" vertical="center"/>
    </xf>
    <xf numFmtId="1" fontId="6" fillId="6" borderId="13" xfId="5" applyNumberFormat="1" applyFill="1" applyBorder="1" applyAlignment="1">
      <alignment horizontal="center" vertical="center"/>
    </xf>
    <xf numFmtId="0" fontId="8" fillId="4" borderId="1" xfId="5" applyFont="1" applyFill="1" applyBorder="1" applyAlignment="1">
      <alignment horizontal="center" vertical="center"/>
    </xf>
    <xf numFmtId="0" fontId="8" fillId="4" borderId="15" xfId="4" applyFont="1" applyFill="1" applyBorder="1" applyAlignment="1">
      <alignment horizontal="center" vertical="center"/>
    </xf>
    <xf numFmtId="0" fontId="8" fillId="4" borderId="13" xfId="4" applyFont="1" applyFill="1" applyBorder="1" applyAlignment="1">
      <alignment horizontal="center" vertical="center"/>
    </xf>
    <xf numFmtId="9" fontId="7" fillId="3" borderId="15" xfId="4" applyNumberFormat="1" applyFont="1" applyFill="1" applyBorder="1" applyAlignment="1">
      <alignment horizontal="center" vertical="center"/>
    </xf>
    <xf numFmtId="9" fontId="7" fillId="3" borderId="14" xfId="4" applyNumberFormat="1" applyFont="1" applyFill="1" applyBorder="1" applyAlignment="1">
      <alignment horizontal="center" vertical="center"/>
    </xf>
    <xf numFmtId="9" fontId="7" fillId="3" borderId="13" xfId="4" applyNumberFormat="1" applyFont="1" applyFill="1" applyBorder="1" applyAlignment="1">
      <alignment horizontal="center" vertical="center"/>
    </xf>
    <xf numFmtId="0" fontId="7" fillId="2" borderId="1" xfId="4" applyFont="1" applyFill="1" applyBorder="1" applyAlignment="1">
      <alignment horizontal="center"/>
    </xf>
    <xf numFmtId="0" fontId="16" fillId="0" borderId="15" xfId="4" applyFont="1" applyBorder="1" applyAlignment="1">
      <alignment horizontal="center" vertical="center" wrapText="1"/>
    </xf>
    <xf numFmtId="0" fontId="16" fillId="0" borderId="14" xfId="4" applyFont="1" applyBorder="1" applyAlignment="1">
      <alignment horizontal="center" vertical="center" wrapText="1"/>
    </xf>
    <xf numFmtId="0" fontId="16" fillId="0" borderId="13" xfId="4" applyFont="1" applyBorder="1" applyAlignment="1">
      <alignment horizontal="center" vertical="center" wrapText="1"/>
    </xf>
    <xf numFmtId="0" fontId="16" fillId="3" borderId="7" xfId="4" applyFont="1" applyFill="1" applyBorder="1" applyAlignment="1">
      <alignment horizontal="left" vertical="center" wrapText="1"/>
    </xf>
    <xf numFmtId="0" fontId="16" fillId="3" borderId="6" xfId="4" applyFont="1" applyFill="1" applyBorder="1" applyAlignment="1">
      <alignment horizontal="left" vertical="center" wrapText="1"/>
    </xf>
    <xf numFmtId="0" fontId="16" fillId="3" borderId="5" xfId="4" applyFont="1" applyFill="1" applyBorder="1" applyAlignment="1">
      <alignment horizontal="left" vertical="center" wrapText="1"/>
    </xf>
    <xf numFmtId="0" fontId="16" fillId="3" borderId="12" xfId="4" applyFont="1" applyFill="1" applyBorder="1" applyAlignment="1">
      <alignment horizontal="left" vertical="center" wrapText="1"/>
    </xf>
    <xf numFmtId="0" fontId="16" fillId="3" borderId="0" xfId="4" applyFont="1" applyFill="1" applyAlignment="1">
      <alignment horizontal="left" vertical="center" wrapText="1"/>
    </xf>
    <xf numFmtId="0" fontId="16" fillId="3" borderId="11" xfId="4" applyFont="1" applyFill="1" applyBorder="1" applyAlignment="1">
      <alignment horizontal="left" vertical="center" wrapText="1"/>
    </xf>
    <xf numFmtId="0" fontId="16" fillId="3" borderId="4" xfId="4" applyFont="1" applyFill="1" applyBorder="1" applyAlignment="1">
      <alignment horizontal="left" vertical="center" wrapText="1"/>
    </xf>
    <xf numFmtId="0" fontId="16" fillId="3" borderId="3" xfId="4" applyFont="1" applyFill="1" applyBorder="1" applyAlignment="1">
      <alignment horizontal="left" vertical="center" wrapText="1"/>
    </xf>
    <xf numFmtId="0" fontId="16" fillId="3" borderId="2" xfId="4" applyFont="1" applyFill="1" applyBorder="1" applyAlignment="1">
      <alignment horizontal="left" vertical="center" wrapText="1"/>
    </xf>
    <xf numFmtId="0" fontId="20" fillId="0" borderId="7" xfId="3" applyFont="1" applyBorder="1" applyAlignment="1">
      <alignment horizontal="left" vertical="center" wrapText="1"/>
    </xf>
    <xf numFmtId="0" fontId="20" fillId="0" borderId="6" xfId="3" applyFont="1" applyBorder="1" applyAlignment="1">
      <alignment horizontal="left" vertical="center" wrapText="1"/>
    </xf>
    <xf numFmtId="0" fontId="20" fillId="0" borderId="5" xfId="3" applyFont="1" applyBorder="1" applyAlignment="1">
      <alignment horizontal="left" vertical="center" wrapText="1"/>
    </xf>
    <xf numFmtId="0" fontId="20" fillId="0" borderId="12" xfId="3" applyFont="1" applyBorder="1" applyAlignment="1">
      <alignment horizontal="left" vertical="center" wrapText="1"/>
    </xf>
    <xf numFmtId="0" fontId="20" fillId="0" borderId="0" xfId="3" applyFont="1" applyAlignment="1">
      <alignment horizontal="left" vertical="center" wrapText="1"/>
    </xf>
    <xf numFmtId="0" fontId="20" fillId="0" borderId="11" xfId="3" applyFont="1" applyBorder="1" applyAlignment="1">
      <alignment horizontal="left" vertical="center" wrapText="1"/>
    </xf>
    <xf numFmtId="0" fontId="20" fillId="0" borderId="4" xfId="3" applyFont="1" applyBorder="1" applyAlignment="1">
      <alignment horizontal="left" vertical="center" wrapText="1"/>
    </xf>
    <xf numFmtId="0" fontId="20" fillId="0" borderId="3" xfId="3" applyFont="1" applyBorder="1" applyAlignment="1">
      <alignment horizontal="left" vertical="center" wrapText="1"/>
    </xf>
    <xf numFmtId="0" fontId="20" fillId="0" borderId="2" xfId="3" applyFont="1" applyBorder="1" applyAlignment="1">
      <alignment horizontal="left" vertical="center" wrapText="1"/>
    </xf>
    <xf numFmtId="0" fontId="19" fillId="0" borderId="7" xfId="3" applyFont="1" applyBorder="1" applyAlignment="1">
      <alignment horizontal="left" vertical="center" wrapText="1"/>
    </xf>
    <xf numFmtId="0" fontId="19" fillId="0" borderId="6" xfId="3" applyFont="1" applyBorder="1" applyAlignment="1">
      <alignment horizontal="left" vertical="center" wrapText="1"/>
    </xf>
    <xf numFmtId="0" fontId="19" fillId="0" borderId="5" xfId="3" applyFont="1" applyBorder="1" applyAlignment="1">
      <alignment horizontal="left" vertical="center" wrapText="1"/>
    </xf>
    <xf numFmtId="0" fontId="19" fillId="0" borderId="4" xfId="3" applyFont="1" applyBorder="1" applyAlignment="1">
      <alignment horizontal="left" vertical="center" wrapText="1"/>
    </xf>
    <xf numFmtId="0" fontId="19" fillId="0" borderId="3" xfId="3" applyFont="1" applyBorder="1" applyAlignment="1">
      <alignment horizontal="left" vertical="center" wrapText="1"/>
    </xf>
    <xf numFmtId="0" fontId="19" fillId="0" borderId="2" xfId="3" applyFont="1" applyBorder="1" applyAlignment="1">
      <alignment horizontal="left" vertical="center" wrapText="1"/>
    </xf>
    <xf numFmtId="0" fontId="8" fillId="4" borderId="9" xfId="4" applyFont="1" applyFill="1" applyBorder="1" applyAlignment="1">
      <alignment horizontal="center"/>
    </xf>
    <xf numFmtId="0" fontId="6" fillId="6" borderId="15" xfId="2" applyFill="1" applyBorder="1" applyAlignment="1">
      <alignment horizontal="center" vertical="center"/>
    </xf>
    <xf numFmtId="0" fontId="6" fillId="6" borderId="14" xfId="2" applyFill="1" applyBorder="1" applyAlignment="1">
      <alignment horizontal="center" vertical="center"/>
    </xf>
    <xf numFmtId="0" fontId="6" fillId="6" borderId="13" xfId="2" applyFill="1" applyBorder="1" applyAlignment="1">
      <alignment horizontal="center" vertical="center"/>
    </xf>
    <xf numFmtId="0" fontId="16" fillId="5" borderId="7" xfId="3" applyFont="1" applyFill="1" applyBorder="1" applyAlignment="1">
      <alignment horizontal="left" vertical="center" wrapText="1"/>
    </xf>
    <xf numFmtId="0" fontId="16" fillId="5" borderId="6" xfId="3" applyFont="1" applyFill="1" applyBorder="1" applyAlignment="1">
      <alignment horizontal="left" vertical="center" wrapText="1"/>
    </xf>
    <xf numFmtId="0" fontId="16" fillId="5" borderId="5" xfId="3" applyFont="1" applyFill="1" applyBorder="1" applyAlignment="1">
      <alignment horizontal="left" vertical="center" wrapText="1"/>
    </xf>
    <xf numFmtId="0" fontId="16" fillId="5" borderId="12" xfId="3" applyFont="1" applyFill="1" applyBorder="1" applyAlignment="1">
      <alignment horizontal="left" vertical="center" wrapText="1"/>
    </xf>
    <xf numFmtId="0" fontId="16" fillId="5" borderId="0" xfId="3" applyFont="1" applyFill="1" applyAlignment="1">
      <alignment horizontal="left" vertical="center" wrapText="1"/>
    </xf>
    <xf numFmtId="0" fontId="16" fillId="5" borderId="11" xfId="3" applyFont="1" applyFill="1" applyBorder="1" applyAlignment="1">
      <alignment horizontal="left" vertical="center" wrapText="1"/>
    </xf>
    <xf numFmtId="0" fontId="16" fillId="5" borderId="4" xfId="3" applyFont="1" applyFill="1" applyBorder="1" applyAlignment="1">
      <alignment horizontal="left" vertical="center" wrapText="1"/>
    </xf>
    <xf numFmtId="0" fontId="16" fillId="5" borderId="3" xfId="3" applyFont="1" applyFill="1" applyBorder="1" applyAlignment="1">
      <alignment horizontal="left" vertical="center" wrapText="1"/>
    </xf>
    <xf numFmtId="0" fontId="16" fillId="5" borderId="2" xfId="3" applyFont="1" applyFill="1" applyBorder="1" applyAlignment="1">
      <alignment horizontal="left" vertical="center" wrapText="1"/>
    </xf>
    <xf numFmtId="0" fontId="3" fillId="6" borderId="10" xfId="0" applyFont="1" applyFill="1" applyBorder="1" applyAlignment="1">
      <alignment horizontal="center"/>
    </xf>
    <xf numFmtId="0" fontId="3" fillId="6" borderId="8" xfId="0" applyFont="1" applyFill="1" applyBorder="1" applyAlignment="1">
      <alignment horizontal="center"/>
    </xf>
    <xf numFmtId="0" fontId="7" fillId="0" borderId="10" xfId="3" applyFont="1" applyBorder="1" applyAlignment="1">
      <alignment horizontal="center" vertical="center"/>
    </xf>
    <xf numFmtId="0" fontId="7" fillId="0" borderId="8" xfId="3" applyFont="1" applyBorder="1" applyAlignment="1">
      <alignment horizontal="center" vertical="center"/>
    </xf>
    <xf numFmtId="0" fontId="0" fillId="0" borderId="1" xfId="0" applyBorder="1" applyAlignment="1">
      <alignment horizontal="center" vertical="center" wrapText="1"/>
    </xf>
    <xf numFmtId="0" fontId="7" fillId="4" borderId="15" xfId="3" applyFont="1" applyFill="1" applyBorder="1" applyAlignment="1">
      <alignment horizontal="center" vertical="center"/>
    </xf>
    <xf numFmtId="0" fontId="7" fillId="4" borderId="13" xfId="3" applyFont="1" applyFill="1" applyBorder="1" applyAlignment="1">
      <alignment horizontal="center" vertical="center"/>
    </xf>
    <xf numFmtId="0" fontId="7" fillId="6" borderId="15" xfId="3" applyFont="1" applyFill="1" applyBorder="1" applyAlignment="1">
      <alignment horizontal="center" vertical="center"/>
    </xf>
    <xf numFmtId="0" fontId="7" fillId="6" borderId="13" xfId="3" applyFont="1" applyFill="1" applyBorder="1" applyAlignment="1">
      <alignment horizontal="center" vertical="center"/>
    </xf>
    <xf numFmtId="0" fontId="0" fillId="4" borderId="1" xfId="0" applyFill="1"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xf numFmtId="0" fontId="0" fillId="6" borderId="9" xfId="0" applyFill="1" applyBorder="1" applyAlignment="1">
      <alignment horizontal="center" vertical="center" wrapText="1"/>
    </xf>
    <xf numFmtId="0" fontId="0" fillId="6" borderId="8" xfId="0" applyFill="1" applyBorder="1" applyAlignment="1">
      <alignment horizontal="center" vertical="center" wrapText="1"/>
    </xf>
    <xf numFmtId="0" fontId="0" fillId="0" borderId="10" xfId="0" applyFill="1" applyBorder="1" applyAlignment="1">
      <alignment horizontal="center"/>
    </xf>
    <xf numFmtId="0" fontId="0" fillId="0" borderId="9" xfId="0" applyFill="1" applyBorder="1" applyAlignment="1">
      <alignment horizontal="center"/>
    </xf>
    <xf numFmtId="0" fontId="0" fillId="0" borderId="8" xfId="0" applyFill="1" applyBorder="1" applyAlignment="1">
      <alignment horizontal="center"/>
    </xf>
    <xf numFmtId="9" fontId="3" fillId="0" borderId="15" xfId="1" applyFont="1" applyBorder="1" applyAlignment="1">
      <alignment horizontal="center" vertical="center"/>
    </xf>
    <xf numFmtId="9" fontId="3" fillId="0" borderId="14" xfId="1" applyFont="1" applyBorder="1" applyAlignment="1">
      <alignment horizontal="center" vertical="center"/>
    </xf>
    <xf numFmtId="9" fontId="3" fillId="0" borderId="13" xfId="1" applyFont="1" applyBorder="1" applyAlignment="1">
      <alignment horizontal="center" vertical="center"/>
    </xf>
    <xf numFmtId="0" fontId="3" fillId="7" borderId="15" xfId="8" applyFont="1" applyFill="1" applyBorder="1" applyAlignment="1">
      <alignment horizontal="center" vertical="center"/>
    </xf>
    <xf numFmtId="0" fontId="3" fillId="7" borderId="14" xfId="8" applyFont="1" applyFill="1" applyBorder="1" applyAlignment="1">
      <alignment horizontal="center" vertical="center"/>
    </xf>
    <xf numFmtId="0" fontId="3" fillId="7" borderId="13" xfId="8" applyFont="1" applyFill="1"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8" fillId="8" borderId="1" xfId="3" applyFont="1" applyFill="1" applyBorder="1" applyAlignment="1">
      <alignment horizontal="center" vertical="center"/>
    </xf>
    <xf numFmtId="0" fontId="8" fillId="0" borderId="7" xfId="3" applyFont="1" applyBorder="1" applyAlignment="1">
      <alignment horizontal="center" vertical="center" wrapText="1"/>
    </xf>
    <xf numFmtId="0" fontId="8" fillId="0" borderId="5" xfId="3" applyFont="1" applyBorder="1" applyAlignment="1">
      <alignment horizontal="center" vertical="center" wrapText="1"/>
    </xf>
    <xf numFmtId="0" fontId="7" fillId="4" borderId="1" xfId="3" applyFont="1" applyFill="1" applyBorder="1" applyAlignment="1">
      <alignment horizontal="center" vertical="center"/>
    </xf>
    <xf numFmtId="0" fontId="7" fillId="6" borderId="1" xfId="3" applyFont="1" applyFill="1" applyBorder="1" applyAlignment="1">
      <alignment horizontal="center" vertical="center"/>
    </xf>
    <xf numFmtId="9" fontId="0" fillId="0" borderId="1" xfId="1" applyFont="1" applyBorder="1" applyAlignment="1">
      <alignment horizontal="center" vertical="center"/>
    </xf>
    <xf numFmtId="0" fontId="7" fillId="0" borderId="10" xfId="3" applyFont="1" applyBorder="1" applyAlignment="1">
      <alignment horizontal="center" vertical="center" wrapText="1"/>
    </xf>
    <xf numFmtId="0" fontId="7" fillId="0" borderId="8" xfId="3" applyFont="1" applyBorder="1" applyAlignment="1">
      <alignment horizontal="center" vertical="center" wrapText="1"/>
    </xf>
    <xf numFmtId="0" fontId="0" fillId="4" borderId="0" xfId="0" applyFill="1" applyAlignment="1">
      <alignment horizontal="center"/>
    </xf>
    <xf numFmtId="165" fontId="0" fillId="0" borderId="1" xfId="0" applyNumberFormat="1" applyBorder="1" applyAlignment="1">
      <alignment horizontal="right"/>
    </xf>
    <xf numFmtId="0" fontId="0" fillId="6" borderId="0" xfId="0" applyFill="1" applyAlignment="1">
      <alignment horizontal="center"/>
    </xf>
    <xf numFmtId="0" fontId="5" fillId="0" borderId="1" xfId="8" applyFont="1" applyBorder="1" applyAlignment="1">
      <alignment horizontal="center" vertical="center"/>
    </xf>
    <xf numFmtId="0" fontId="8" fillId="0" borderId="1" xfId="3" applyFont="1" applyBorder="1" applyAlignment="1">
      <alignment horizontal="center" vertical="center"/>
    </xf>
    <xf numFmtId="0" fontId="22" fillId="0" borderId="15" xfId="4" applyFont="1" applyBorder="1" applyAlignment="1">
      <alignment horizontal="center" vertical="center"/>
    </xf>
    <xf numFmtId="0" fontId="22" fillId="0" borderId="13" xfId="4" applyFont="1" applyBorder="1" applyAlignment="1">
      <alignment horizontal="center" vertical="center"/>
    </xf>
    <xf numFmtId="164" fontId="7" fillId="0" borderId="1" xfId="4" applyNumberFormat="1" applyFont="1" applyBorder="1" applyAlignment="1">
      <alignment horizontal="center" vertical="center" wrapText="1"/>
    </xf>
    <xf numFmtId="0" fontId="22" fillId="0" borderId="1" xfId="4" applyFont="1" applyBorder="1" applyAlignment="1">
      <alignment horizontal="center" vertical="center"/>
    </xf>
    <xf numFmtId="0" fontId="22" fillId="0" borderId="1" xfId="4" applyFont="1" applyBorder="1" applyAlignment="1">
      <alignment horizontal="center" vertical="center" wrapText="1"/>
    </xf>
    <xf numFmtId="0" fontId="20" fillId="0" borderId="1" xfId="8" applyFont="1" applyBorder="1" applyAlignment="1">
      <alignment horizontal="left" vertical="center" wrapText="1"/>
    </xf>
    <xf numFmtId="0" fontId="3" fillId="0" borderId="1" xfId="8" applyFont="1" applyBorder="1" applyAlignment="1">
      <alignment horizontal="center" wrapText="1"/>
    </xf>
    <xf numFmtId="0" fontId="16" fillId="0" borderId="7" xfId="4" applyFont="1" applyBorder="1" applyAlignment="1">
      <alignment horizontal="left" vertical="center" wrapText="1"/>
    </xf>
    <xf numFmtId="0" fontId="16" fillId="0" borderId="6" xfId="4" applyFont="1" applyBorder="1" applyAlignment="1">
      <alignment horizontal="left" vertical="center" wrapText="1"/>
    </xf>
    <xf numFmtId="0" fontId="16" fillId="0" borderId="5" xfId="4" applyFont="1" applyBorder="1" applyAlignment="1">
      <alignment horizontal="left" vertical="center" wrapText="1"/>
    </xf>
    <xf numFmtId="0" fontId="16" fillId="0" borderId="4" xfId="4" applyFont="1" applyBorder="1" applyAlignment="1">
      <alignment horizontal="left" vertical="center" wrapText="1"/>
    </xf>
    <xf numFmtId="0" fontId="16" fillId="0" borderId="3" xfId="4" applyFont="1" applyBorder="1" applyAlignment="1">
      <alignment horizontal="left" vertical="center" wrapText="1"/>
    </xf>
    <xf numFmtId="0" fontId="16" fillId="0" borderId="2" xfId="4" applyFont="1" applyBorder="1" applyAlignment="1">
      <alignment horizontal="left" vertical="center" wrapText="1"/>
    </xf>
    <xf numFmtId="0" fontId="8" fillId="0" borderId="1" xfId="4" applyFont="1" applyBorder="1" applyAlignment="1">
      <alignment horizontal="center" vertical="center"/>
    </xf>
    <xf numFmtId="0" fontId="8" fillId="0" borderId="10" xfId="4" applyFont="1" applyBorder="1" applyAlignment="1">
      <alignment horizontal="center"/>
    </xf>
    <xf numFmtId="0" fontId="8" fillId="0" borderId="8" xfId="4" applyFont="1" applyBorder="1" applyAlignment="1">
      <alignment horizontal="center"/>
    </xf>
    <xf numFmtId="0" fontId="43" fillId="0" borderId="10" xfId="4" applyFont="1" applyBorder="1" applyAlignment="1">
      <alignment horizontal="center" vertical="center"/>
    </xf>
    <xf numFmtId="0" fontId="43" fillId="0" borderId="9" xfId="4" applyFont="1" applyBorder="1" applyAlignment="1">
      <alignment horizontal="center" vertical="center"/>
    </xf>
    <xf numFmtId="0" fontId="43" fillId="0" borderId="8" xfId="4" applyFont="1" applyBorder="1" applyAlignment="1">
      <alignment horizontal="center" vertical="center"/>
    </xf>
    <xf numFmtId="164" fontId="7" fillId="0" borderId="15" xfId="4" applyNumberFormat="1" applyFont="1" applyBorder="1" applyAlignment="1">
      <alignment horizontal="center" vertical="center" wrapText="1"/>
    </xf>
    <xf numFmtId="164" fontId="7" fillId="0" borderId="13" xfId="4" applyNumberFormat="1" applyFont="1" applyBorder="1" applyAlignment="1">
      <alignment horizontal="center" vertical="center" wrapText="1"/>
    </xf>
    <xf numFmtId="165" fontId="7" fillId="0" borderId="1" xfId="4" applyNumberFormat="1" applyFont="1" applyBorder="1" applyAlignment="1">
      <alignment horizontal="center" vertical="center" wrapText="1"/>
    </xf>
    <xf numFmtId="2" fontId="3" fillId="10" borderId="1" xfId="8" applyNumberFormat="1" applyFont="1" applyFill="1" applyBorder="1" applyAlignment="1">
      <alignment horizontal="center" vertical="center"/>
    </xf>
    <xf numFmtId="0" fontId="42" fillId="0" borderId="1" xfId="8" applyFont="1" applyBorder="1" applyAlignment="1">
      <alignment horizontal="center" vertical="center" wrapText="1"/>
    </xf>
    <xf numFmtId="2" fontId="41" fillId="0" borderId="7" xfId="8" applyNumberFormat="1" applyFont="1" applyBorder="1" applyAlignment="1">
      <alignment horizontal="center" vertical="center"/>
    </xf>
    <xf numFmtId="2" fontId="41" fillId="0" borderId="5" xfId="8" applyNumberFormat="1" applyFont="1" applyBorder="1" applyAlignment="1">
      <alignment horizontal="center" vertical="center"/>
    </xf>
    <xf numFmtId="2" fontId="41" fillId="0" borderId="12" xfId="8" applyNumberFormat="1" applyFont="1" applyBorder="1" applyAlignment="1">
      <alignment horizontal="center" vertical="center"/>
    </xf>
    <xf numFmtId="2" fontId="41" fillId="0" borderId="11" xfId="8" applyNumberFormat="1" applyFont="1" applyBorder="1" applyAlignment="1">
      <alignment horizontal="center" vertical="center"/>
    </xf>
    <xf numFmtId="2" fontId="41" fillId="0" borderId="4" xfId="8" applyNumberFormat="1" applyFont="1" applyBorder="1" applyAlignment="1">
      <alignment horizontal="center" vertical="center"/>
    </xf>
    <xf numFmtId="2" fontId="41" fillId="0" borderId="2" xfId="8" applyNumberFormat="1" applyFont="1" applyBorder="1" applyAlignment="1">
      <alignment horizontal="center" vertical="center"/>
    </xf>
    <xf numFmtId="0" fontId="1" fillId="0" borderId="0" xfId="6" applyFont="1" applyAlignment="1">
      <alignment horizontal="left" vertical="center"/>
    </xf>
    <xf numFmtId="0" fontId="54" fillId="0" borderId="0" xfId="6" applyFont="1" applyAlignment="1">
      <alignment horizontal="center"/>
    </xf>
    <xf numFmtId="0" fontId="47" fillId="0" borderId="0" xfId="6" applyFont="1" applyAlignment="1">
      <alignment horizontal="center"/>
    </xf>
    <xf numFmtId="0" fontId="45" fillId="0" borderId="0" xfId="6" applyFont="1" applyAlignment="1">
      <alignment horizontal="center"/>
    </xf>
    <xf numFmtId="0" fontId="44" fillId="0" borderId="0" xfId="6" applyFont="1" applyAlignment="1">
      <alignment horizontal="center"/>
    </xf>
    <xf numFmtId="0" fontId="1" fillId="0" borderId="0" xfId="6" applyFont="1" applyAlignment="1">
      <alignment horizontal="center"/>
    </xf>
    <xf numFmtId="0" fontId="53" fillId="0" borderId="0" xfId="6" applyFont="1" applyAlignment="1">
      <alignment horizontal="center"/>
    </xf>
    <xf numFmtId="168" fontId="1" fillId="0" borderId="0" xfId="6" applyNumberFormat="1" applyFont="1" applyAlignment="1">
      <alignment horizontal="left" vertical="center"/>
    </xf>
    <xf numFmtId="0" fontId="61" fillId="0" borderId="4" xfId="6" applyFont="1" applyBorder="1" applyAlignment="1">
      <alignment horizontal="center"/>
    </xf>
    <xf numFmtId="0" fontId="61" fillId="0" borderId="3" xfId="6" applyFont="1" applyBorder="1" applyAlignment="1">
      <alignment horizontal="center"/>
    </xf>
    <xf numFmtId="0" fontId="61" fillId="0" borderId="2" xfId="6" applyFont="1" applyBorder="1" applyAlignment="1">
      <alignment horizontal="center"/>
    </xf>
    <xf numFmtId="0" fontId="58" fillId="0" borderId="12" xfId="3" applyFont="1" applyBorder="1" applyAlignment="1">
      <alignment horizontal="center" vertical="center"/>
    </xf>
    <xf numFmtId="0" fontId="58" fillId="0" borderId="0" xfId="3" applyFont="1" applyBorder="1" applyAlignment="1">
      <alignment horizontal="center" vertical="center"/>
    </xf>
    <xf numFmtId="0" fontId="58" fillId="0" borderId="11" xfId="3" applyFont="1" applyBorder="1" applyAlignment="1">
      <alignment horizontal="center" vertical="center"/>
    </xf>
    <xf numFmtId="0" fontId="58" fillId="0" borderId="4" xfId="3" applyFont="1" applyBorder="1" applyAlignment="1">
      <alignment horizontal="center" vertical="center"/>
    </xf>
    <xf numFmtId="0" fontId="58" fillId="0" borderId="3" xfId="3" applyFont="1" applyBorder="1" applyAlignment="1">
      <alignment horizontal="center" vertical="center"/>
    </xf>
    <xf numFmtId="0" fontId="57" fillId="0" borderId="12" xfId="6" applyFont="1" applyBorder="1" applyAlignment="1">
      <alignment horizontal="center"/>
    </xf>
    <xf numFmtId="0" fontId="57" fillId="0" borderId="0" xfId="6" applyFont="1" applyAlignment="1">
      <alignment horizontal="center"/>
    </xf>
    <xf numFmtId="0" fontId="57" fillId="0" borderId="11" xfId="6" applyFont="1" applyBorder="1" applyAlignment="1">
      <alignment horizontal="center"/>
    </xf>
    <xf numFmtId="0" fontId="57" fillId="0" borderId="0" xfId="6" applyFont="1" applyBorder="1" applyAlignment="1">
      <alignment horizontal="center"/>
    </xf>
    <xf numFmtId="0" fontId="61" fillId="0" borderId="7" xfId="6" applyFont="1" applyBorder="1" applyAlignment="1">
      <alignment horizontal="center"/>
    </xf>
    <xf numFmtId="0" fontId="61" fillId="0" borderId="6" xfId="6" applyFont="1" applyBorder="1" applyAlignment="1">
      <alignment horizontal="center"/>
    </xf>
    <xf numFmtId="0" fontId="61" fillId="0" borderId="5" xfId="6" applyFont="1" applyBorder="1" applyAlignment="1">
      <alignment horizontal="center"/>
    </xf>
    <xf numFmtId="0" fontId="59" fillId="0" borderId="7" xfId="3" applyFont="1" applyBorder="1" applyAlignment="1">
      <alignment horizontal="center" vertical="center"/>
    </xf>
    <xf numFmtId="0" fontId="59" fillId="0" borderId="6" xfId="3" applyFont="1" applyBorder="1" applyAlignment="1">
      <alignment horizontal="center" vertical="center"/>
    </xf>
    <xf numFmtId="0" fontId="59" fillId="0" borderId="5" xfId="3" applyFont="1" applyBorder="1" applyAlignment="1">
      <alignment horizontal="center" vertical="center"/>
    </xf>
    <xf numFmtId="0" fontId="45" fillId="0" borderId="7" xfId="6" applyFont="1" applyBorder="1" applyAlignment="1">
      <alignment horizontal="center" vertical="center"/>
    </xf>
    <xf numFmtId="0" fontId="45" fillId="0" borderId="6" xfId="6" applyFont="1" applyBorder="1" applyAlignment="1">
      <alignment horizontal="center" vertical="center"/>
    </xf>
    <xf numFmtId="0" fontId="45" fillId="0" borderId="5" xfId="6" applyFont="1" applyBorder="1" applyAlignment="1">
      <alignment horizontal="center" vertical="center"/>
    </xf>
    <xf numFmtId="0" fontId="45" fillId="0" borderId="7" xfId="6" applyFont="1" applyBorder="1" applyAlignment="1">
      <alignment horizontal="center" wrapText="1"/>
    </xf>
    <xf numFmtId="0" fontId="45" fillId="0" borderId="6" xfId="6" applyFont="1" applyBorder="1" applyAlignment="1">
      <alignment horizontal="center" wrapText="1"/>
    </xf>
    <xf numFmtId="0" fontId="45" fillId="0" borderId="5" xfId="6" applyFont="1" applyBorder="1" applyAlignment="1">
      <alignment horizontal="center" wrapText="1"/>
    </xf>
    <xf numFmtId="2" fontId="1" fillId="0" borderId="10" xfId="6" applyNumberFormat="1" applyFont="1" applyBorder="1" applyAlignment="1">
      <alignment horizontal="center"/>
    </xf>
    <xf numFmtId="0" fontId="1" fillId="0" borderId="8" xfId="6" applyFont="1" applyBorder="1" applyAlignment="1">
      <alignment horizontal="center"/>
    </xf>
    <xf numFmtId="0" fontId="1" fillId="0" borderId="9" xfId="6" applyFont="1" applyBorder="1" applyAlignment="1">
      <alignment horizontal="center"/>
    </xf>
    <xf numFmtId="2" fontId="1" fillId="0" borderId="4" xfId="6" applyNumberFormat="1" applyFont="1" applyBorder="1" applyAlignment="1">
      <alignment horizontal="center"/>
    </xf>
    <xf numFmtId="0" fontId="1" fillId="0" borderId="2" xfId="6" applyFont="1" applyBorder="1" applyAlignment="1">
      <alignment horizontal="center"/>
    </xf>
    <xf numFmtId="2" fontId="1" fillId="0" borderId="8" xfId="6" applyNumberFormat="1" applyFont="1" applyBorder="1" applyAlignment="1">
      <alignment horizontal="center"/>
    </xf>
    <xf numFmtId="0" fontId="1" fillId="0" borderId="3" xfId="6" applyFont="1" applyBorder="1" applyAlignment="1">
      <alignment horizontal="center"/>
    </xf>
    <xf numFmtId="0" fontId="45" fillId="0" borderId="4" xfId="6" applyFont="1" applyBorder="1" applyAlignment="1">
      <alignment horizontal="left"/>
    </xf>
    <xf numFmtId="0" fontId="45" fillId="0" borderId="3" xfId="6" applyFont="1" applyBorder="1" applyAlignment="1">
      <alignment horizontal="left"/>
    </xf>
    <xf numFmtId="0" fontId="45" fillId="0" borderId="2" xfId="6" applyFont="1" applyBorder="1" applyAlignment="1">
      <alignment horizontal="left"/>
    </xf>
    <xf numFmtId="15" fontId="45" fillId="0" borderId="4" xfId="6" applyNumberFormat="1" applyFont="1" applyBorder="1" applyAlignment="1">
      <alignment horizontal="center"/>
    </xf>
    <xf numFmtId="15" fontId="45" fillId="0" borderId="3" xfId="6" applyNumberFormat="1" applyFont="1" applyBorder="1" applyAlignment="1">
      <alignment horizontal="center"/>
    </xf>
    <xf numFmtId="15" fontId="45" fillId="0" borderId="2" xfId="6" applyNumberFormat="1" applyFont="1" applyBorder="1" applyAlignment="1">
      <alignment horizontal="center"/>
    </xf>
    <xf numFmtId="1" fontId="45" fillId="0" borderId="4" xfId="6" applyNumberFormat="1" applyFont="1" applyBorder="1" applyAlignment="1">
      <alignment horizontal="center"/>
    </xf>
    <xf numFmtId="1" fontId="45" fillId="0" borderId="3" xfId="6" applyNumberFormat="1" applyFont="1" applyBorder="1" applyAlignment="1">
      <alignment horizontal="center"/>
    </xf>
    <xf numFmtId="1" fontId="45" fillId="0" borderId="2" xfId="6" applyNumberFormat="1" applyFont="1" applyBorder="1" applyAlignment="1">
      <alignment horizontal="center"/>
    </xf>
    <xf numFmtId="0" fontId="45" fillId="0" borderId="4" xfId="6" applyFont="1" applyBorder="1" applyAlignment="1">
      <alignment horizontal="center" vertical="center"/>
    </xf>
    <xf numFmtId="0" fontId="45" fillId="0" borderId="7" xfId="6" applyFont="1" applyBorder="1" applyAlignment="1">
      <alignment horizontal="center"/>
    </xf>
    <xf numFmtId="0" fontId="45" fillId="0" borderId="6" xfId="6" applyFont="1" applyBorder="1" applyAlignment="1">
      <alignment horizontal="center"/>
    </xf>
    <xf numFmtId="0" fontId="45" fillId="0" borderId="0" xfId="6" applyFont="1" applyAlignment="1">
      <alignment vertical="center" wrapText="1"/>
    </xf>
    <xf numFmtId="0" fontId="45" fillId="0" borderId="0" xfId="6" applyFont="1" applyAlignment="1">
      <alignment vertical="center"/>
    </xf>
    <xf numFmtId="0" fontId="44" fillId="0" borderId="0" xfId="6" applyFont="1" applyAlignment="1">
      <alignment vertical="center" wrapText="1"/>
    </xf>
    <xf numFmtId="0" fontId="44" fillId="0" borderId="0" xfId="6" applyFont="1" applyAlignment="1">
      <alignment vertical="center"/>
    </xf>
    <xf numFmtId="2" fontId="1" fillId="0" borderId="2" xfId="6" applyNumberFormat="1" applyFont="1" applyBorder="1" applyAlignment="1">
      <alignment horizontal="center"/>
    </xf>
    <xf numFmtId="2" fontId="45" fillId="0" borderId="10" xfId="6" applyNumberFormat="1" applyFont="1" applyBorder="1" applyAlignment="1">
      <alignment horizontal="center" vertical="top"/>
    </xf>
    <xf numFmtId="0" fontId="45" fillId="0" borderId="9" xfId="6" applyFont="1" applyBorder="1" applyAlignment="1">
      <alignment horizontal="center" vertical="top"/>
    </xf>
    <xf numFmtId="0" fontId="45" fillId="0" borderId="8" xfId="6" applyFont="1" applyBorder="1" applyAlignment="1">
      <alignment horizontal="center" vertical="top"/>
    </xf>
    <xf numFmtId="2" fontId="45" fillId="0" borderId="4" xfId="6" applyNumberFormat="1" applyFont="1" applyBorder="1" applyAlignment="1">
      <alignment horizontal="center" vertical="top"/>
    </xf>
    <xf numFmtId="0" fontId="45" fillId="0" borderId="3" xfId="6" applyFont="1" applyBorder="1" applyAlignment="1">
      <alignment horizontal="center" vertical="top"/>
    </xf>
    <xf numFmtId="0" fontId="45" fillId="0" borderId="2" xfId="6" applyFont="1" applyBorder="1" applyAlignment="1">
      <alignment horizontal="center" vertical="top"/>
    </xf>
    <xf numFmtId="0" fontId="44" fillId="0" borderId="4" xfId="6" applyFont="1" applyBorder="1" applyAlignment="1">
      <alignment horizontal="center" vertical="top"/>
    </xf>
    <xf numFmtId="0" fontId="44" fillId="0" borderId="3" xfId="6" applyFont="1" applyBorder="1" applyAlignment="1">
      <alignment horizontal="center" vertical="top"/>
    </xf>
    <xf numFmtId="0" fontId="60" fillId="0" borderId="1" xfId="6" applyFont="1" applyBorder="1" applyAlignment="1">
      <alignment horizontal="left"/>
    </xf>
    <xf numFmtId="164" fontId="60" fillId="0" borderId="1" xfId="6" applyNumberFormat="1" applyFont="1" applyBorder="1" applyAlignment="1">
      <alignment horizontal="center"/>
    </xf>
    <xf numFmtId="0" fontId="44" fillId="0" borderId="0" xfId="6" applyFont="1" applyAlignment="1">
      <alignment wrapText="1"/>
    </xf>
    <xf numFmtId="0" fontId="44" fillId="0" borderId="0" xfId="6" applyFont="1"/>
    <xf numFmtId="0" fontId="45" fillId="0" borderId="5" xfId="6" applyFont="1" applyBorder="1" applyAlignment="1">
      <alignment horizontal="center"/>
    </xf>
    <xf numFmtId="0" fontId="44" fillId="0" borderId="2" xfId="6" applyFont="1" applyBorder="1" applyAlignment="1">
      <alignment horizontal="center" vertical="top"/>
    </xf>
    <xf numFmtId="0" fontId="60" fillId="0" borderId="1" xfId="6" applyFont="1" applyBorder="1" applyAlignment="1">
      <alignment horizontal="center"/>
    </xf>
    <xf numFmtId="165" fontId="60" fillId="0" borderId="1" xfId="6" applyNumberFormat="1" applyFont="1" applyBorder="1" applyAlignment="1">
      <alignment horizontal="center"/>
    </xf>
    <xf numFmtId="0" fontId="45" fillId="0" borderId="0" xfId="6" applyFont="1" applyAlignment="1">
      <alignment wrapText="1"/>
    </xf>
    <xf numFmtId="0" fontId="45" fillId="0" borderId="0" xfId="6" applyFont="1"/>
    <xf numFmtId="0" fontId="44" fillId="0" borderId="0" xfId="0" applyFont="1" applyAlignment="1">
      <alignment vertical="center" wrapText="1"/>
    </xf>
    <xf numFmtId="0" fontId="44" fillId="0" borderId="0" xfId="0" applyFont="1" applyAlignment="1">
      <alignment vertical="center"/>
    </xf>
    <xf numFmtId="0" fontId="48" fillId="0" borderId="0" xfId="6" applyFont="1" applyAlignment="1">
      <alignment horizontal="center"/>
    </xf>
    <xf numFmtId="0" fontId="1" fillId="0" borderId="0" xfId="6" applyFont="1" applyAlignment="1">
      <alignment horizontal="left"/>
    </xf>
    <xf numFmtId="169" fontId="1" fillId="0" borderId="0" xfId="6" applyNumberFormat="1" applyFont="1" applyAlignment="1">
      <alignment horizontal="left" vertical="center"/>
    </xf>
    <xf numFmtId="169" fontId="0" fillId="0" borderId="0" xfId="6" applyNumberFormat="1" applyFont="1" applyAlignment="1">
      <alignment horizontal="left" vertical="center"/>
    </xf>
    <xf numFmtId="165" fontId="1" fillId="0" borderId="0" xfId="6" applyNumberFormat="1" applyFont="1" applyAlignment="1">
      <alignment horizontal="right"/>
    </xf>
    <xf numFmtId="14" fontId="7" fillId="2" borderId="10" xfId="4" applyNumberFormat="1" applyFont="1" applyFill="1" applyBorder="1" applyAlignment="1">
      <alignment horizont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cellXfs>
  <cellStyles count="9">
    <cellStyle name="Normal" xfId="0" builtinId="0"/>
    <cellStyle name="Normal 10" xfId="6" xr:uid="{FCF3EA31-280D-4F82-BF97-1E140E141395}"/>
    <cellStyle name="Normal 2" xfId="3" xr:uid="{4BEA57B6-7513-414C-82F4-56FB8BB08BA0}"/>
    <cellStyle name="Normal 2 2" xfId="7" xr:uid="{68C0A060-DE2A-4AB3-AB8C-20F54878D87D}"/>
    <cellStyle name="Normal 3" xfId="4" xr:uid="{92B953A8-78CD-498A-B90C-99158576993B}"/>
    <cellStyle name="Normal 4 2 2 2" xfId="8" xr:uid="{3F367C4A-EE52-4058-9B73-D0B3CB9F71E1}"/>
    <cellStyle name="Normal 5" xfId="2" xr:uid="{2770E0CA-B417-4749-9468-B0599C9EF743}"/>
    <cellStyle name="Normal 7" xfId="5" xr:uid="{B2F49116-8317-4D54-B4FF-C869569D234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4</xdr:col>
      <xdr:colOff>161925</xdr:colOff>
      <xdr:row>54</xdr:row>
      <xdr:rowOff>114300</xdr:rowOff>
    </xdr:from>
    <xdr:to>
      <xdr:col>4</xdr:col>
      <xdr:colOff>361950</xdr:colOff>
      <xdr:row>54</xdr:row>
      <xdr:rowOff>257175</xdr:rowOff>
    </xdr:to>
    <xdr:sp macro="" textlink="">
      <xdr:nvSpPr>
        <xdr:cNvPr id="2" name="Rectangle 1">
          <a:extLst>
            <a:ext uri="{FF2B5EF4-FFF2-40B4-BE49-F238E27FC236}">
              <a16:creationId xmlns:a16="http://schemas.microsoft.com/office/drawing/2014/main" id="{2EAD5731-484C-48B7-BD9A-43F8167EC6B0}"/>
            </a:ext>
          </a:extLst>
        </xdr:cNvPr>
        <xdr:cNvSpPr/>
      </xdr:nvSpPr>
      <xdr:spPr>
        <a:xfrm>
          <a:off x="2600325" y="10401300"/>
          <a:ext cx="200025" cy="7620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85725</xdr:colOff>
      <xdr:row>54</xdr:row>
      <xdr:rowOff>57150</xdr:rowOff>
    </xdr:from>
    <xdr:to>
      <xdr:col>5</xdr:col>
      <xdr:colOff>342900</xdr:colOff>
      <xdr:row>54</xdr:row>
      <xdr:rowOff>276225</xdr:rowOff>
    </xdr:to>
    <xdr:sp macro="" textlink="">
      <xdr:nvSpPr>
        <xdr:cNvPr id="3" name="Rectangle 2">
          <a:extLst>
            <a:ext uri="{FF2B5EF4-FFF2-40B4-BE49-F238E27FC236}">
              <a16:creationId xmlns:a16="http://schemas.microsoft.com/office/drawing/2014/main" id="{58FE4A08-3675-4DF0-AF8E-6AF5EE18EDCB}"/>
            </a:ext>
          </a:extLst>
        </xdr:cNvPr>
        <xdr:cNvSpPr/>
      </xdr:nvSpPr>
      <xdr:spPr>
        <a:xfrm>
          <a:off x="3133725" y="10344150"/>
          <a:ext cx="257175" cy="1333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a:t>
          </a:r>
          <a:endParaRPr lang="en-US">
            <a:effectLst/>
          </a:endParaRPr>
        </a:p>
        <a:p>
          <a:endParaRPr lang="en-US"/>
        </a:p>
      </xdr:txBody>
    </xdr:sp>
    <xdr:clientData/>
  </xdr:twoCellAnchor>
  <xdr:twoCellAnchor>
    <xdr:from>
      <xdr:col>6</xdr:col>
      <xdr:colOff>76200</xdr:colOff>
      <xdr:row>54</xdr:row>
      <xdr:rowOff>123825</xdr:rowOff>
    </xdr:from>
    <xdr:to>
      <xdr:col>6</xdr:col>
      <xdr:colOff>276225</xdr:colOff>
      <xdr:row>54</xdr:row>
      <xdr:rowOff>266700</xdr:rowOff>
    </xdr:to>
    <xdr:sp macro="" textlink="">
      <xdr:nvSpPr>
        <xdr:cNvPr id="4" name="Rectangle 3">
          <a:extLst>
            <a:ext uri="{FF2B5EF4-FFF2-40B4-BE49-F238E27FC236}">
              <a16:creationId xmlns:a16="http://schemas.microsoft.com/office/drawing/2014/main" id="{6AD42ED6-6E2E-4772-A642-680073B60C18}"/>
            </a:ext>
          </a:extLst>
        </xdr:cNvPr>
        <xdr:cNvSpPr/>
      </xdr:nvSpPr>
      <xdr:spPr>
        <a:xfrm>
          <a:off x="3733800" y="10410825"/>
          <a:ext cx="200025" cy="666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95250</xdr:colOff>
      <xdr:row>55</xdr:row>
      <xdr:rowOff>123825</xdr:rowOff>
    </xdr:from>
    <xdr:to>
      <xdr:col>5</xdr:col>
      <xdr:colOff>295275</xdr:colOff>
      <xdr:row>55</xdr:row>
      <xdr:rowOff>266700</xdr:rowOff>
    </xdr:to>
    <xdr:sp macro="" textlink="">
      <xdr:nvSpPr>
        <xdr:cNvPr id="5" name="Rectangle 4">
          <a:extLst>
            <a:ext uri="{FF2B5EF4-FFF2-40B4-BE49-F238E27FC236}">
              <a16:creationId xmlns:a16="http://schemas.microsoft.com/office/drawing/2014/main" id="{9E51B60F-F2EA-4B23-BBBA-F9D46FD62BF2}"/>
            </a:ext>
          </a:extLst>
        </xdr:cNvPr>
        <xdr:cNvSpPr/>
      </xdr:nvSpPr>
      <xdr:spPr>
        <a:xfrm>
          <a:off x="3143250" y="10601325"/>
          <a:ext cx="200025" cy="666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28575</xdr:colOff>
      <xdr:row>55</xdr:row>
      <xdr:rowOff>133350</xdr:rowOff>
    </xdr:from>
    <xdr:to>
      <xdr:col>6</xdr:col>
      <xdr:colOff>228600</xdr:colOff>
      <xdr:row>55</xdr:row>
      <xdr:rowOff>276225</xdr:rowOff>
    </xdr:to>
    <xdr:sp macro="" textlink="">
      <xdr:nvSpPr>
        <xdr:cNvPr id="6" name="Rectangle 5">
          <a:extLst>
            <a:ext uri="{FF2B5EF4-FFF2-40B4-BE49-F238E27FC236}">
              <a16:creationId xmlns:a16="http://schemas.microsoft.com/office/drawing/2014/main" id="{CF3EA35F-F852-47AC-AB04-A778016BC75D}"/>
            </a:ext>
          </a:extLst>
        </xdr:cNvPr>
        <xdr:cNvSpPr/>
      </xdr:nvSpPr>
      <xdr:spPr>
        <a:xfrm>
          <a:off x="3686175" y="10610850"/>
          <a:ext cx="200025" cy="571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76200</xdr:colOff>
      <xdr:row>56</xdr:row>
      <xdr:rowOff>28575</xdr:rowOff>
    </xdr:from>
    <xdr:to>
      <xdr:col>5</xdr:col>
      <xdr:colOff>276225</xdr:colOff>
      <xdr:row>56</xdr:row>
      <xdr:rowOff>171450</xdr:rowOff>
    </xdr:to>
    <xdr:sp macro="" textlink="">
      <xdr:nvSpPr>
        <xdr:cNvPr id="7" name="Rectangle 6">
          <a:extLst>
            <a:ext uri="{FF2B5EF4-FFF2-40B4-BE49-F238E27FC236}">
              <a16:creationId xmlns:a16="http://schemas.microsoft.com/office/drawing/2014/main" id="{F5451195-189E-433A-91BC-CD73FF960AA0}"/>
            </a:ext>
          </a:extLst>
        </xdr:cNvPr>
        <xdr:cNvSpPr/>
      </xdr:nvSpPr>
      <xdr:spPr>
        <a:xfrm>
          <a:off x="3124200" y="10696575"/>
          <a:ext cx="200025" cy="1428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85725</xdr:colOff>
      <xdr:row>56</xdr:row>
      <xdr:rowOff>76200</xdr:rowOff>
    </xdr:from>
    <xdr:to>
      <xdr:col>6</xdr:col>
      <xdr:colOff>285750</xdr:colOff>
      <xdr:row>56</xdr:row>
      <xdr:rowOff>219075</xdr:rowOff>
    </xdr:to>
    <xdr:sp macro="" textlink="">
      <xdr:nvSpPr>
        <xdr:cNvPr id="8" name="Rectangle 7">
          <a:extLst>
            <a:ext uri="{FF2B5EF4-FFF2-40B4-BE49-F238E27FC236}">
              <a16:creationId xmlns:a16="http://schemas.microsoft.com/office/drawing/2014/main" id="{E047870E-DD95-449C-9D44-8024E86D66EC}"/>
            </a:ext>
          </a:extLst>
        </xdr:cNvPr>
        <xdr:cNvSpPr/>
      </xdr:nvSpPr>
      <xdr:spPr>
        <a:xfrm>
          <a:off x="3743325" y="10744200"/>
          <a:ext cx="200025" cy="11430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4</xdr:col>
      <xdr:colOff>114301</xdr:colOff>
      <xdr:row>55</xdr:row>
      <xdr:rowOff>76200</xdr:rowOff>
    </xdr:from>
    <xdr:to>
      <xdr:col>4</xdr:col>
      <xdr:colOff>409575</xdr:colOff>
      <xdr:row>55</xdr:row>
      <xdr:rowOff>247650</xdr:rowOff>
    </xdr:to>
    <xdr:sp macro="" textlink="">
      <xdr:nvSpPr>
        <xdr:cNvPr id="9" name="Rectangle 8">
          <a:extLst>
            <a:ext uri="{FF2B5EF4-FFF2-40B4-BE49-F238E27FC236}">
              <a16:creationId xmlns:a16="http://schemas.microsoft.com/office/drawing/2014/main" id="{ADF243C8-7742-4813-BB09-61FF86A40056}"/>
            </a:ext>
          </a:extLst>
        </xdr:cNvPr>
        <xdr:cNvSpPr/>
      </xdr:nvSpPr>
      <xdr:spPr>
        <a:xfrm>
          <a:off x="2552701" y="10553700"/>
          <a:ext cx="295274" cy="11430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a:t>
          </a:r>
          <a:endParaRPr lang="en-US">
            <a:effectLst/>
          </a:endParaRPr>
        </a:p>
        <a:p>
          <a:endParaRPr lang="en-US"/>
        </a:p>
      </xdr:txBody>
    </xdr:sp>
    <xdr:clientData/>
  </xdr:twoCellAnchor>
  <xdr:twoCellAnchor>
    <xdr:from>
      <xdr:col>4</xdr:col>
      <xdr:colOff>85725</xdr:colOff>
      <xdr:row>56</xdr:row>
      <xdr:rowOff>57151</xdr:rowOff>
    </xdr:from>
    <xdr:to>
      <xdr:col>4</xdr:col>
      <xdr:colOff>371475</xdr:colOff>
      <xdr:row>56</xdr:row>
      <xdr:rowOff>247651</xdr:rowOff>
    </xdr:to>
    <xdr:sp macro="" textlink="">
      <xdr:nvSpPr>
        <xdr:cNvPr id="10" name="Rectangle 9">
          <a:extLst>
            <a:ext uri="{FF2B5EF4-FFF2-40B4-BE49-F238E27FC236}">
              <a16:creationId xmlns:a16="http://schemas.microsoft.com/office/drawing/2014/main" id="{9A2E5A6B-3431-44F6-BC4E-EF429E381A65}"/>
            </a:ext>
          </a:extLst>
        </xdr:cNvPr>
        <xdr:cNvSpPr/>
      </xdr:nvSpPr>
      <xdr:spPr>
        <a:xfrm>
          <a:off x="2524125" y="10725151"/>
          <a:ext cx="285750" cy="133350"/>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a:t>
          </a:r>
          <a:endParaRPr lang="en-US">
            <a:effectLst/>
          </a:endParaRPr>
        </a:p>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63744</xdr:colOff>
      <xdr:row>53</xdr:row>
      <xdr:rowOff>72537</xdr:rowOff>
    </xdr:from>
    <xdr:to>
      <xdr:col>4</xdr:col>
      <xdr:colOff>351692</xdr:colOff>
      <xdr:row>53</xdr:row>
      <xdr:rowOff>263770</xdr:rowOff>
    </xdr:to>
    <xdr:sp macro="" textlink="">
      <xdr:nvSpPr>
        <xdr:cNvPr id="2" name="Rectangle 1">
          <a:extLst>
            <a:ext uri="{FF2B5EF4-FFF2-40B4-BE49-F238E27FC236}">
              <a16:creationId xmlns:a16="http://schemas.microsoft.com/office/drawing/2014/main" id="{3DDA38FE-3393-4A1D-8344-065EFA0A4A9D}"/>
            </a:ext>
          </a:extLst>
        </xdr:cNvPr>
        <xdr:cNvSpPr/>
      </xdr:nvSpPr>
      <xdr:spPr>
        <a:xfrm>
          <a:off x="2502144" y="9597537"/>
          <a:ext cx="287948" cy="115033"/>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65942</xdr:colOff>
      <xdr:row>54</xdr:row>
      <xdr:rowOff>73269</xdr:rowOff>
    </xdr:from>
    <xdr:to>
      <xdr:col>5</xdr:col>
      <xdr:colOff>353890</xdr:colOff>
      <xdr:row>54</xdr:row>
      <xdr:rowOff>264502</xdr:rowOff>
    </xdr:to>
    <xdr:sp macro="" textlink="">
      <xdr:nvSpPr>
        <xdr:cNvPr id="3" name="Rectangle 2">
          <a:extLst>
            <a:ext uri="{FF2B5EF4-FFF2-40B4-BE49-F238E27FC236}">
              <a16:creationId xmlns:a16="http://schemas.microsoft.com/office/drawing/2014/main" id="{4A7021A1-BD70-4D80-9D79-FB88F9BF8D81}"/>
            </a:ext>
          </a:extLst>
        </xdr:cNvPr>
        <xdr:cNvSpPr/>
      </xdr:nvSpPr>
      <xdr:spPr>
        <a:xfrm>
          <a:off x="3113942" y="9788769"/>
          <a:ext cx="287948" cy="115033"/>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4</xdr:col>
      <xdr:colOff>51288</xdr:colOff>
      <xdr:row>54</xdr:row>
      <xdr:rowOff>73269</xdr:rowOff>
    </xdr:from>
    <xdr:to>
      <xdr:col>4</xdr:col>
      <xdr:colOff>339236</xdr:colOff>
      <xdr:row>54</xdr:row>
      <xdr:rowOff>264502</xdr:rowOff>
    </xdr:to>
    <xdr:sp macro="" textlink="">
      <xdr:nvSpPr>
        <xdr:cNvPr id="4" name="Rectangle 3">
          <a:extLst>
            <a:ext uri="{FF2B5EF4-FFF2-40B4-BE49-F238E27FC236}">
              <a16:creationId xmlns:a16="http://schemas.microsoft.com/office/drawing/2014/main" id="{F3E9F5CC-BFDD-4A4F-A3B6-8A306535C982}"/>
            </a:ext>
          </a:extLst>
        </xdr:cNvPr>
        <xdr:cNvSpPr/>
      </xdr:nvSpPr>
      <xdr:spPr>
        <a:xfrm>
          <a:off x="2489688" y="9788769"/>
          <a:ext cx="287948" cy="115033"/>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65942</xdr:colOff>
      <xdr:row>53</xdr:row>
      <xdr:rowOff>95250</xdr:rowOff>
    </xdr:from>
    <xdr:to>
      <xdr:col>5</xdr:col>
      <xdr:colOff>353890</xdr:colOff>
      <xdr:row>53</xdr:row>
      <xdr:rowOff>286483</xdr:rowOff>
    </xdr:to>
    <xdr:sp macro="" textlink="">
      <xdr:nvSpPr>
        <xdr:cNvPr id="5" name="Rectangle 4">
          <a:extLst>
            <a:ext uri="{FF2B5EF4-FFF2-40B4-BE49-F238E27FC236}">
              <a16:creationId xmlns:a16="http://schemas.microsoft.com/office/drawing/2014/main" id="{97A2B8F4-F7B9-4AE8-8151-6BE06E09653F}"/>
            </a:ext>
          </a:extLst>
        </xdr:cNvPr>
        <xdr:cNvSpPr/>
      </xdr:nvSpPr>
      <xdr:spPr>
        <a:xfrm>
          <a:off x="3113942" y="9620250"/>
          <a:ext cx="287948" cy="95983"/>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43962</xdr:colOff>
      <xdr:row>53</xdr:row>
      <xdr:rowOff>95250</xdr:rowOff>
    </xdr:from>
    <xdr:to>
      <xdr:col>6</xdr:col>
      <xdr:colOff>331910</xdr:colOff>
      <xdr:row>53</xdr:row>
      <xdr:rowOff>286483</xdr:rowOff>
    </xdr:to>
    <xdr:sp macro="" textlink="">
      <xdr:nvSpPr>
        <xdr:cNvPr id="6" name="Rectangle 5">
          <a:extLst>
            <a:ext uri="{FF2B5EF4-FFF2-40B4-BE49-F238E27FC236}">
              <a16:creationId xmlns:a16="http://schemas.microsoft.com/office/drawing/2014/main" id="{3261DC1A-C35E-436D-9A70-64C3B26324FE}"/>
            </a:ext>
          </a:extLst>
        </xdr:cNvPr>
        <xdr:cNvSpPr/>
      </xdr:nvSpPr>
      <xdr:spPr>
        <a:xfrm>
          <a:off x="3701562" y="9620250"/>
          <a:ext cx="287948" cy="95983"/>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43961</xdr:colOff>
      <xdr:row>54</xdr:row>
      <xdr:rowOff>95250</xdr:rowOff>
    </xdr:from>
    <xdr:to>
      <xdr:col>6</xdr:col>
      <xdr:colOff>331909</xdr:colOff>
      <xdr:row>54</xdr:row>
      <xdr:rowOff>286483</xdr:rowOff>
    </xdr:to>
    <xdr:sp macro="" textlink="">
      <xdr:nvSpPr>
        <xdr:cNvPr id="7" name="Rectangle 6">
          <a:extLst>
            <a:ext uri="{FF2B5EF4-FFF2-40B4-BE49-F238E27FC236}">
              <a16:creationId xmlns:a16="http://schemas.microsoft.com/office/drawing/2014/main" id="{BB478011-53A7-447F-9DD7-B44468F08FEE}"/>
            </a:ext>
          </a:extLst>
        </xdr:cNvPr>
        <xdr:cNvSpPr/>
      </xdr:nvSpPr>
      <xdr:spPr>
        <a:xfrm>
          <a:off x="3701561" y="9810750"/>
          <a:ext cx="287948" cy="95983"/>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4</xdr:col>
      <xdr:colOff>29308</xdr:colOff>
      <xdr:row>55</xdr:row>
      <xdr:rowOff>58615</xdr:rowOff>
    </xdr:from>
    <xdr:to>
      <xdr:col>4</xdr:col>
      <xdr:colOff>285750</xdr:colOff>
      <xdr:row>55</xdr:row>
      <xdr:rowOff>263769</xdr:rowOff>
    </xdr:to>
    <xdr:sp macro="" textlink="">
      <xdr:nvSpPr>
        <xdr:cNvPr id="8" name="Rectangle 7">
          <a:extLst>
            <a:ext uri="{FF2B5EF4-FFF2-40B4-BE49-F238E27FC236}">
              <a16:creationId xmlns:a16="http://schemas.microsoft.com/office/drawing/2014/main" id="{F00F9892-AB98-43AF-9997-FD67902EBA05}"/>
            </a:ext>
          </a:extLst>
        </xdr:cNvPr>
        <xdr:cNvSpPr/>
      </xdr:nvSpPr>
      <xdr:spPr>
        <a:xfrm>
          <a:off x="2467708" y="9964615"/>
          <a:ext cx="256442" cy="128954"/>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36634</xdr:colOff>
      <xdr:row>55</xdr:row>
      <xdr:rowOff>73270</xdr:rowOff>
    </xdr:from>
    <xdr:to>
      <xdr:col>5</xdr:col>
      <xdr:colOff>324582</xdr:colOff>
      <xdr:row>55</xdr:row>
      <xdr:rowOff>264503</xdr:rowOff>
    </xdr:to>
    <xdr:sp macro="" textlink="">
      <xdr:nvSpPr>
        <xdr:cNvPr id="9" name="Rectangle 8">
          <a:extLst>
            <a:ext uri="{FF2B5EF4-FFF2-40B4-BE49-F238E27FC236}">
              <a16:creationId xmlns:a16="http://schemas.microsoft.com/office/drawing/2014/main" id="{678FEA05-A95D-4967-9EEA-B9DFA8AE5C46}"/>
            </a:ext>
          </a:extLst>
        </xdr:cNvPr>
        <xdr:cNvSpPr/>
      </xdr:nvSpPr>
      <xdr:spPr>
        <a:xfrm>
          <a:off x="3084634" y="9979270"/>
          <a:ext cx="287948" cy="115033"/>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6</xdr:col>
      <xdr:colOff>65942</xdr:colOff>
      <xdr:row>55</xdr:row>
      <xdr:rowOff>80596</xdr:rowOff>
    </xdr:from>
    <xdr:to>
      <xdr:col>6</xdr:col>
      <xdr:colOff>353890</xdr:colOff>
      <xdr:row>55</xdr:row>
      <xdr:rowOff>271829</xdr:rowOff>
    </xdr:to>
    <xdr:sp macro="" textlink="">
      <xdr:nvSpPr>
        <xdr:cNvPr id="10" name="Rectangle 9">
          <a:extLst>
            <a:ext uri="{FF2B5EF4-FFF2-40B4-BE49-F238E27FC236}">
              <a16:creationId xmlns:a16="http://schemas.microsoft.com/office/drawing/2014/main" id="{CC1356AB-E997-4C20-8C2D-A1C1E8D538BC}"/>
            </a:ext>
          </a:extLst>
        </xdr:cNvPr>
        <xdr:cNvSpPr/>
      </xdr:nvSpPr>
      <xdr:spPr>
        <a:xfrm>
          <a:off x="3723542" y="9986596"/>
          <a:ext cx="287948" cy="105508"/>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oneCellAnchor>
    <xdr:from>
      <xdr:col>6</xdr:col>
      <xdr:colOff>41763</xdr:colOff>
      <xdr:row>53</xdr:row>
      <xdr:rowOff>35902</xdr:rowOff>
    </xdr:from>
    <xdr:ext cx="298730" cy="333844"/>
    <xdr:pic>
      <xdr:nvPicPr>
        <xdr:cNvPr id="11" name="Picture 10">
          <a:extLst>
            <a:ext uri="{FF2B5EF4-FFF2-40B4-BE49-F238E27FC236}">
              <a16:creationId xmlns:a16="http://schemas.microsoft.com/office/drawing/2014/main" id="{A8F6D8B2-BADF-4C79-8034-1CDCD5B7139A}"/>
            </a:ext>
          </a:extLst>
        </xdr:cNvPr>
        <xdr:cNvPicPr>
          <a:picLocks noChangeAspect="1"/>
        </xdr:cNvPicPr>
      </xdr:nvPicPr>
      <xdr:blipFill>
        <a:blip xmlns:r="http://schemas.openxmlformats.org/officeDocument/2006/relationships" r:embed="rId1"/>
        <a:stretch>
          <a:fillRect/>
        </a:stretch>
      </xdr:blipFill>
      <xdr:spPr>
        <a:xfrm>
          <a:off x="3699363" y="9560902"/>
          <a:ext cx="298730" cy="333844"/>
        </a:xfrm>
        <a:prstGeom prst="rect">
          <a:avLst/>
        </a:prstGeom>
      </xdr:spPr>
    </xdr:pic>
    <xdr:clientData/>
  </xdr:oneCellAnchor>
  <xdr:oneCellAnchor>
    <xdr:from>
      <xdr:col>4</xdr:col>
      <xdr:colOff>51288</xdr:colOff>
      <xdr:row>54</xdr:row>
      <xdr:rowOff>14654</xdr:rowOff>
    </xdr:from>
    <xdr:ext cx="298730" cy="335309"/>
    <xdr:pic>
      <xdr:nvPicPr>
        <xdr:cNvPr id="12" name="Picture 11">
          <a:extLst>
            <a:ext uri="{FF2B5EF4-FFF2-40B4-BE49-F238E27FC236}">
              <a16:creationId xmlns:a16="http://schemas.microsoft.com/office/drawing/2014/main" id="{892438F2-36BB-4271-89A6-24EBFF40EF51}"/>
            </a:ext>
          </a:extLst>
        </xdr:cNvPr>
        <xdr:cNvPicPr>
          <a:picLocks noChangeAspect="1"/>
        </xdr:cNvPicPr>
      </xdr:nvPicPr>
      <xdr:blipFill>
        <a:blip xmlns:r="http://schemas.openxmlformats.org/officeDocument/2006/relationships" r:embed="rId1"/>
        <a:stretch>
          <a:fillRect/>
        </a:stretch>
      </xdr:blipFill>
      <xdr:spPr>
        <a:xfrm>
          <a:off x="2489688" y="9730154"/>
          <a:ext cx="298730" cy="335309"/>
        </a:xfrm>
        <a:prstGeom prst="rect">
          <a:avLst/>
        </a:prstGeom>
      </xdr:spPr>
    </xdr:pic>
    <xdr:clientData/>
  </xdr:oneCellAnchor>
  <xdr:oneCellAnchor>
    <xdr:from>
      <xdr:col>4</xdr:col>
      <xdr:colOff>14654</xdr:colOff>
      <xdr:row>55</xdr:row>
      <xdr:rowOff>21980</xdr:rowOff>
    </xdr:from>
    <xdr:ext cx="298730" cy="334577"/>
    <xdr:pic>
      <xdr:nvPicPr>
        <xdr:cNvPr id="13" name="Picture 12">
          <a:extLst>
            <a:ext uri="{FF2B5EF4-FFF2-40B4-BE49-F238E27FC236}">
              <a16:creationId xmlns:a16="http://schemas.microsoft.com/office/drawing/2014/main" id="{1AC9A11C-7414-491C-BA84-EE848B73A9C6}"/>
            </a:ext>
          </a:extLst>
        </xdr:cNvPr>
        <xdr:cNvPicPr>
          <a:picLocks noChangeAspect="1"/>
        </xdr:cNvPicPr>
      </xdr:nvPicPr>
      <xdr:blipFill>
        <a:blip xmlns:r="http://schemas.openxmlformats.org/officeDocument/2006/relationships" r:embed="rId1"/>
        <a:stretch>
          <a:fillRect/>
        </a:stretch>
      </xdr:blipFill>
      <xdr:spPr>
        <a:xfrm>
          <a:off x="2453054" y="9927980"/>
          <a:ext cx="298730" cy="33457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438150</xdr:colOff>
      <xdr:row>16</xdr:row>
      <xdr:rowOff>85725</xdr:rowOff>
    </xdr:from>
    <xdr:to>
      <xdr:col>28</xdr:col>
      <xdr:colOff>441272</xdr:colOff>
      <xdr:row>34</xdr:row>
      <xdr:rowOff>95250</xdr:rowOff>
    </xdr:to>
    <xdr:pic>
      <xdr:nvPicPr>
        <xdr:cNvPr id="2" name="Picture 1">
          <a:extLst>
            <a:ext uri="{FF2B5EF4-FFF2-40B4-BE49-F238E27FC236}">
              <a16:creationId xmlns:a16="http://schemas.microsoft.com/office/drawing/2014/main" id="{148754D1-2F3C-4AC1-AD9D-CE9816AABAB9}"/>
            </a:ext>
          </a:extLst>
        </xdr:cNvPr>
        <xdr:cNvPicPr>
          <a:picLocks noChangeAspect="1"/>
        </xdr:cNvPicPr>
      </xdr:nvPicPr>
      <xdr:blipFill rotWithShape="1">
        <a:blip xmlns:r="http://schemas.openxmlformats.org/officeDocument/2006/relationships" r:embed="rId1"/>
        <a:srcRect l="32244" t="63897" r="39575" b="25639"/>
        <a:stretch/>
      </xdr:blipFill>
      <xdr:spPr>
        <a:xfrm>
          <a:off x="1047750" y="3133725"/>
          <a:ext cx="16462322" cy="3438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24493</xdr:rowOff>
    </xdr:from>
    <xdr:ext cx="1251212" cy="813707"/>
    <xdr:pic>
      <xdr:nvPicPr>
        <xdr:cNvPr id="2" name="Picture 1">
          <a:extLst>
            <a:ext uri="{FF2B5EF4-FFF2-40B4-BE49-F238E27FC236}">
              <a16:creationId xmlns:a16="http://schemas.microsoft.com/office/drawing/2014/main" id="{90D2331C-3F41-46F6-99E8-EC26FEC78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4493"/>
          <a:ext cx="1251212" cy="813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87765</xdr:colOff>
      <xdr:row>0</xdr:row>
      <xdr:rowOff>0</xdr:rowOff>
    </xdr:from>
    <xdr:to>
      <xdr:col>17</xdr:col>
      <xdr:colOff>268741</xdr:colOff>
      <xdr:row>6</xdr:row>
      <xdr:rowOff>180975</xdr:rowOff>
    </xdr:to>
    <xdr:sp macro="" textlink="">
      <xdr:nvSpPr>
        <xdr:cNvPr id="3" name="Rectangle 11">
          <a:extLst>
            <a:ext uri="{FF2B5EF4-FFF2-40B4-BE49-F238E27FC236}">
              <a16:creationId xmlns:a16="http://schemas.microsoft.com/office/drawing/2014/main" id="{EF580E1E-5DDD-43EB-9888-42172D249E0D}"/>
            </a:ext>
          </a:extLst>
        </xdr:cNvPr>
        <xdr:cNvSpPr>
          <a:spLocks noChangeArrowheads="1"/>
        </xdr:cNvSpPr>
      </xdr:nvSpPr>
      <xdr:spPr bwMode="auto">
        <a:xfrm>
          <a:off x="2526165" y="0"/>
          <a:ext cx="8105776" cy="1323975"/>
        </a:xfrm>
        <a:prstGeom prst="rect">
          <a:avLst/>
        </a:prstGeom>
        <a:noFill/>
        <a:ln>
          <a:noFill/>
        </a:ln>
      </xdr:spPr>
      <xdr:txBody>
        <a:bodyPr vertOverflow="clip" wrap="square" lIns="91440" tIns="45720" rIns="91440" bIns="45720" anchor="t" upright="1"/>
        <a:lstStyle/>
        <a:p>
          <a:pPr algn="ctr" rtl="0">
            <a:lnSpc>
              <a:spcPts val="2500"/>
            </a:lnSpc>
            <a:defRPr sz="1000"/>
          </a:pPr>
          <a:r>
            <a:rPr lang="en-ID" sz="2000" b="1" i="0" u="none" strike="noStrike" baseline="0">
              <a:solidFill>
                <a:schemeClr val="tx2">
                  <a:lumMod val="75000"/>
                </a:schemeClr>
              </a:solidFill>
              <a:latin typeface="Aharoni" panose="02010803020104030203" pitchFamily="2" charset="-79"/>
              <a:cs typeface="Aharoni" panose="02010803020104030203" pitchFamily="2" charset="-79"/>
            </a:rPr>
            <a:t>PT.PRESISI KALIBRASI MEDIKA</a:t>
          </a:r>
        </a:p>
        <a:p>
          <a:pPr algn="ctr" rtl="0">
            <a:lnSpc>
              <a:spcPts val="1300"/>
            </a:lnSpc>
            <a:defRPr sz="1000"/>
          </a:pPr>
          <a:r>
            <a:rPr lang="en-ID" sz="1100" b="0" i="0" u="none" strike="noStrike" baseline="0">
              <a:solidFill>
                <a:schemeClr val="tx2">
                  <a:lumMod val="75000"/>
                </a:schemeClr>
              </a:solidFill>
              <a:latin typeface="Aharoni" panose="02010803020104030203" pitchFamily="2" charset="-79"/>
              <a:cs typeface="Aharoni" panose="02010803020104030203" pitchFamily="2" charset="-79"/>
            </a:rPr>
            <a:t>CALIBRATION &amp; TESTING OF MEDICAL EQUIPMENT</a:t>
          </a:r>
        </a:p>
        <a:p>
          <a:pPr algn="ctr" rtl="0">
            <a:lnSpc>
              <a:spcPts val="1300"/>
            </a:lnSpc>
            <a:defRPr sz="1000"/>
          </a:pPr>
          <a:r>
            <a:rPr lang="en-ID" sz="900">
              <a:latin typeface="+mj-lt"/>
            </a:rPr>
            <a:t>Gedung Graha Bumi Indah - Lantai 3, Jl. Inspeksi Kalimalang Kavling Agraria Blok E No. 10, Kel. Duren Sawit, Kec. Duren Sawit, Kota Adm. Jakarta Timur, Provinsi DKI Jakarta,</a:t>
          </a:r>
          <a:endParaRPr lang="en-ID" sz="900" b="0" i="0" u="none" strike="noStrike" baseline="0">
            <a:solidFill>
              <a:schemeClr val="tx2">
                <a:lumMod val="75000"/>
              </a:schemeClr>
            </a:solidFill>
            <a:latin typeface="+mj-lt"/>
            <a:cs typeface="Aharoni" panose="02010803020104030203" pitchFamily="2" charset="-79"/>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24493</xdr:rowOff>
    </xdr:from>
    <xdr:ext cx="1251212" cy="813707"/>
    <xdr:pic>
      <xdr:nvPicPr>
        <xdr:cNvPr id="2" name="Picture 1">
          <a:extLst>
            <a:ext uri="{FF2B5EF4-FFF2-40B4-BE49-F238E27FC236}">
              <a16:creationId xmlns:a16="http://schemas.microsoft.com/office/drawing/2014/main" id="{8F36377B-2675-4E46-8EAF-42F2945717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4493"/>
          <a:ext cx="1251212" cy="813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87765</xdr:colOff>
      <xdr:row>0</xdr:row>
      <xdr:rowOff>0</xdr:rowOff>
    </xdr:from>
    <xdr:to>
      <xdr:col>17</xdr:col>
      <xdr:colOff>268741</xdr:colOff>
      <xdr:row>6</xdr:row>
      <xdr:rowOff>180975</xdr:rowOff>
    </xdr:to>
    <xdr:sp macro="" textlink="">
      <xdr:nvSpPr>
        <xdr:cNvPr id="3" name="Rectangle 11">
          <a:extLst>
            <a:ext uri="{FF2B5EF4-FFF2-40B4-BE49-F238E27FC236}">
              <a16:creationId xmlns:a16="http://schemas.microsoft.com/office/drawing/2014/main" id="{BB6E75F6-F6DC-4CB1-BAA0-C58799CE5B35}"/>
            </a:ext>
          </a:extLst>
        </xdr:cNvPr>
        <xdr:cNvSpPr>
          <a:spLocks noChangeArrowheads="1"/>
        </xdr:cNvSpPr>
      </xdr:nvSpPr>
      <xdr:spPr bwMode="auto">
        <a:xfrm>
          <a:off x="2526165" y="0"/>
          <a:ext cx="8105776" cy="1323975"/>
        </a:xfrm>
        <a:prstGeom prst="rect">
          <a:avLst/>
        </a:prstGeom>
        <a:noFill/>
        <a:ln>
          <a:noFill/>
        </a:ln>
      </xdr:spPr>
      <xdr:txBody>
        <a:bodyPr vertOverflow="clip" wrap="square" lIns="91440" tIns="45720" rIns="91440" bIns="45720" anchor="t" upright="1"/>
        <a:lstStyle/>
        <a:p>
          <a:pPr algn="ctr" rtl="0">
            <a:lnSpc>
              <a:spcPts val="2500"/>
            </a:lnSpc>
            <a:defRPr sz="1000"/>
          </a:pPr>
          <a:r>
            <a:rPr lang="en-ID" sz="2000" b="1" i="0" u="none" strike="noStrike" baseline="0">
              <a:solidFill>
                <a:schemeClr val="tx2">
                  <a:lumMod val="75000"/>
                </a:schemeClr>
              </a:solidFill>
              <a:latin typeface="Aharoni" panose="02010803020104030203" pitchFamily="2" charset="-79"/>
              <a:cs typeface="Aharoni" panose="02010803020104030203" pitchFamily="2" charset="-79"/>
            </a:rPr>
            <a:t>PT.PRESISI KALIBRASI MEDIKA</a:t>
          </a:r>
        </a:p>
        <a:p>
          <a:pPr algn="ctr" rtl="0">
            <a:lnSpc>
              <a:spcPts val="1300"/>
            </a:lnSpc>
            <a:defRPr sz="1000"/>
          </a:pPr>
          <a:r>
            <a:rPr lang="en-ID" sz="1100" b="0" i="0" u="none" strike="noStrike" baseline="0">
              <a:solidFill>
                <a:schemeClr val="tx2">
                  <a:lumMod val="75000"/>
                </a:schemeClr>
              </a:solidFill>
              <a:latin typeface="Aharoni" panose="02010803020104030203" pitchFamily="2" charset="-79"/>
              <a:cs typeface="Aharoni" panose="02010803020104030203" pitchFamily="2" charset="-79"/>
            </a:rPr>
            <a:t>CALIBRATION &amp; TESTING OF MEDICAL EQUIPMENT</a:t>
          </a:r>
        </a:p>
        <a:p>
          <a:pPr algn="ctr" rtl="0">
            <a:lnSpc>
              <a:spcPts val="1300"/>
            </a:lnSpc>
            <a:defRPr sz="1000"/>
          </a:pPr>
          <a:r>
            <a:rPr lang="en-ID" sz="900">
              <a:latin typeface="+mj-lt"/>
            </a:rPr>
            <a:t>Gedung Graha Bumi Indah - Lantai 3, Jl. Inspeksi Kalimalang Kavling Agraria Blok E No. 10, Kel. Duren Sawit, Kec. Duren Sawit, Kota Adm. Jakarta Timur, Provinsi DKI Jakarta,</a:t>
          </a:r>
          <a:endParaRPr lang="en-ID" sz="900" b="0" i="0" u="none" strike="noStrike" baseline="0">
            <a:solidFill>
              <a:schemeClr val="tx2">
                <a:lumMod val="75000"/>
              </a:schemeClr>
            </a:solidFill>
            <a:latin typeface="+mj-lt"/>
            <a:cs typeface="Aharoni" panose="02010803020104030203" pitchFamily="2" charset="-79"/>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Master%20CMC\array%20thermohygromet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ster%20CMC/Array/array%20thermohygromet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ster%20CMC/Array/Array%20ES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susitator%20Paru%20dan%20Neopuff.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d%20Side%20Moni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RAY"/>
      <sheetName val="TH-01"/>
      <sheetName val="TH-02"/>
      <sheetName val="TH-03"/>
      <sheetName val="TH-04"/>
    </sheetNames>
    <sheetDataSet>
      <sheetData sheetId="0">
        <row r="6">
          <cell r="D6" t="str">
            <v>TH-01</v>
          </cell>
          <cell r="E6">
            <v>1</v>
          </cell>
          <cell r="F6" t="str">
            <v>Digital thermohygrometer</v>
          </cell>
          <cell r="G6" t="str">
            <v>Taffware</v>
          </cell>
          <cell r="H6" t="str">
            <v>HTC-1</v>
          </cell>
          <cell r="I6">
            <v>-0.3531747919143875</v>
          </cell>
          <cell r="J6">
            <v>1.0389536266349582</v>
          </cell>
          <cell r="K6">
            <v>-19.598181818181821</v>
          </cell>
          <cell r="L6">
            <v>1.3814545454545455</v>
          </cell>
          <cell r="M6">
            <v>0.5</v>
          </cell>
          <cell r="N6">
            <v>2.7</v>
          </cell>
        </row>
        <row r="7">
          <cell r="D7" t="str">
            <v>TH-02</v>
          </cell>
          <cell r="E7">
            <v>2</v>
          </cell>
          <cell r="F7" t="str">
            <v>Digital thermohygrometer</v>
          </cell>
          <cell r="G7" t="str">
            <v>Taffware</v>
          </cell>
          <cell r="H7" t="str">
            <v>HTC-1</v>
          </cell>
          <cell r="I7">
            <v>-3.6218787158141197E-2</v>
          </cell>
          <cell r="J7">
            <v>1.0230439952437573</v>
          </cell>
          <cell r="K7">
            <v>-20.981818181818163</v>
          </cell>
          <cell r="L7">
            <v>1.3290909090909087</v>
          </cell>
          <cell r="M7">
            <v>0.5</v>
          </cell>
          <cell r="N7">
            <v>3.1</v>
          </cell>
        </row>
        <row r="8">
          <cell r="D8" t="str">
            <v>TH-03</v>
          </cell>
          <cell r="E8">
            <v>3</v>
          </cell>
          <cell r="F8" t="str">
            <v>Digital thermohygrometer</v>
          </cell>
          <cell r="G8" t="str">
            <v>Taffware</v>
          </cell>
          <cell r="H8" t="str">
            <v>HTC-1</v>
          </cell>
          <cell r="I8">
            <v>-0.40318668252080059</v>
          </cell>
          <cell r="J8">
            <v>1.0430321046373363</v>
          </cell>
          <cell r="K8">
            <v>-19.666363636363634</v>
          </cell>
          <cell r="L8">
            <v>1.3078181818181818</v>
          </cell>
          <cell r="M8">
            <v>0.5</v>
          </cell>
          <cell r="N8">
            <v>2.7</v>
          </cell>
        </row>
        <row r="9">
          <cell r="D9" t="str">
            <v>TH-04</v>
          </cell>
          <cell r="E9">
            <v>4</v>
          </cell>
          <cell r="F9" t="str">
            <v>Digital thermohygrometer</v>
          </cell>
          <cell r="G9" t="str">
            <v>Taffware</v>
          </cell>
          <cell r="H9" t="str">
            <v>HTC-1</v>
          </cell>
          <cell r="I9">
            <v>0.19985731272295126</v>
          </cell>
          <cell r="J9">
            <v>0.99894173602853731</v>
          </cell>
          <cell r="K9">
            <v>-20.049999999999997</v>
          </cell>
          <cell r="L9">
            <v>1.3190909090909091</v>
          </cell>
          <cell r="M9">
            <v>0.6</v>
          </cell>
          <cell r="N9">
            <v>2.9</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RAY"/>
      <sheetName val="TH-01"/>
      <sheetName val="TH-02"/>
      <sheetName val="TH-03"/>
      <sheetName val="TH-04"/>
    </sheetNames>
    <sheetDataSet>
      <sheetData sheetId="0">
        <row r="6">
          <cell r="O6">
            <v>45799</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RAY"/>
      <sheetName val="Regresi"/>
    </sheetNames>
    <sheetDataSet>
      <sheetData sheetId="0">
        <row r="7">
          <cell r="C7">
            <v>6579027</v>
          </cell>
          <cell r="D7">
            <v>1</v>
          </cell>
          <cell r="E7" t="str">
            <v>Fluke Biomedical</v>
          </cell>
          <cell r="F7" t="str">
            <v>ESA16</v>
          </cell>
          <cell r="G7">
            <v>45819</v>
          </cell>
          <cell r="H7" t="str">
            <v>LK-110-IDN</v>
          </cell>
          <cell r="I7">
            <v>0.18884843505782101</v>
          </cell>
          <cell r="J7">
            <v>0.99976434070331921</v>
          </cell>
          <cell r="K7">
            <v>8.3113755394208511E-3</v>
          </cell>
          <cell r="L7">
            <v>0.99798390215914468</v>
          </cell>
          <cell r="M7">
            <v>1.109276060012121E-2</v>
          </cell>
          <cell r="N7">
            <v>1.0019062227988453</v>
          </cell>
          <cell r="O7">
            <v>-8.4833373595444295E-3</v>
          </cell>
          <cell r="P7">
            <v>1.0005091922739648</v>
          </cell>
          <cell r="Q7">
            <v>0</v>
          </cell>
          <cell r="R7">
            <v>1</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Data"/>
      <sheetName val="budget "/>
      <sheetName val="Laporan"/>
      <sheetName val="Cover"/>
      <sheetName val="Laporan Print"/>
    </sheetNames>
    <sheetDataSet>
      <sheetData sheetId="0">
        <row r="2">
          <cell r="C2" t="str">
            <v>LEMBAR KERJA KALIBRASI RESUSITASI PARU ATAU NEOPUFF</v>
          </cell>
        </row>
        <row r="60">
          <cell r="F60">
            <v>0.224</v>
          </cell>
        </row>
        <row r="61">
          <cell r="F61" t="str">
            <v>OR</v>
          </cell>
        </row>
        <row r="62">
          <cell r="F62">
            <v>0.1</v>
          </cell>
        </row>
      </sheetData>
      <sheetData sheetId="1">
        <row r="12">
          <cell r="K12">
            <v>1.5920618740946406</v>
          </cell>
        </row>
      </sheetData>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Data"/>
      <sheetName val="skorsing"/>
      <sheetName val="budget"/>
      <sheetName val="NIBP "/>
      <sheetName val="standar"/>
      <sheetName val="Cover"/>
      <sheetName val="Laporan Print"/>
      <sheetName val="Laporan"/>
    </sheetNames>
    <sheetDataSet>
      <sheetData sheetId="0">
        <row r="6">
          <cell r="C6" t="str">
            <v>BED SIDE MONITOR</v>
          </cell>
        </row>
      </sheetData>
      <sheetData sheetId="1">
        <row r="22">
          <cell r="G22">
            <v>24.465684898929851</v>
          </cell>
        </row>
        <row r="24">
          <cell r="B24" t="str">
            <v>Tegangan</v>
          </cell>
        </row>
        <row r="58">
          <cell r="C58" t="str">
            <v>Resistansi pembumian protektif (Ω)</v>
          </cell>
          <cell r="J58" t="str">
            <v>√</v>
          </cell>
        </row>
        <row r="59">
          <cell r="C59" t="str">
            <v>Resistansi Isolasi (MΩ)</v>
          </cell>
          <cell r="J59" t="str">
            <v>√</v>
          </cell>
        </row>
        <row r="60">
          <cell r="C60" t="str">
            <v>Arus bocor peralatan (µA)</v>
          </cell>
          <cell r="J60" t="str">
            <v>√</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0F64-561E-4AAF-B591-F6FE02926D46}">
  <dimension ref="A1:L79"/>
  <sheetViews>
    <sheetView tabSelected="1" topLeftCell="A13" workbookViewId="0">
      <selection activeCell="I30" sqref="I30"/>
    </sheetView>
  </sheetViews>
  <sheetFormatPr defaultRowHeight="15"/>
  <cols>
    <col min="1" max="1" width="9.140625" style="1"/>
    <col min="2" max="2" width="14.85546875" style="1" customWidth="1"/>
    <col min="3" max="3" width="12.7109375" style="1" customWidth="1"/>
    <col min="4" max="4" width="19.28515625" style="1" customWidth="1"/>
    <col min="5" max="5" width="20" style="1" customWidth="1"/>
    <col min="6" max="6" width="14.140625" style="1" customWidth="1"/>
    <col min="7" max="7" width="13.140625" style="1" customWidth="1"/>
    <col min="8" max="8" width="14.42578125" style="1" customWidth="1"/>
    <col min="9" max="9" width="16.5703125" style="1" customWidth="1"/>
    <col min="10" max="16384" width="9.140625" style="1"/>
  </cols>
  <sheetData>
    <row r="1" spans="1:10">
      <c r="A1" s="15"/>
      <c r="B1" s="16"/>
      <c r="C1" s="18"/>
      <c r="D1" s="18"/>
      <c r="E1" s="18"/>
      <c r="F1" s="18"/>
      <c r="G1" s="18"/>
      <c r="H1" s="18"/>
      <c r="I1" s="16"/>
      <c r="J1" s="15"/>
    </row>
    <row r="2" spans="1:10">
      <c r="A2" s="15"/>
      <c r="B2" s="16"/>
      <c r="C2" s="265" t="s">
        <v>89</v>
      </c>
      <c r="D2" s="265"/>
      <c r="E2" s="265"/>
      <c r="F2" s="265"/>
      <c r="G2" s="265"/>
      <c r="H2" s="265"/>
      <c r="I2" s="50"/>
      <c r="J2" s="15"/>
    </row>
    <row r="3" spans="1:10">
      <c r="A3" s="15"/>
      <c r="B3" s="16"/>
      <c r="C3" s="49"/>
      <c r="D3" s="49"/>
      <c r="E3" s="49"/>
      <c r="F3" s="49"/>
      <c r="G3" s="17"/>
      <c r="H3" s="49"/>
      <c r="I3" s="49"/>
      <c r="J3" s="15"/>
    </row>
    <row r="4" spans="1:10">
      <c r="A4" s="15"/>
      <c r="B4" s="37" t="s">
        <v>88</v>
      </c>
      <c r="C4" s="15"/>
      <c r="D4" s="48"/>
      <c r="E4" s="48"/>
      <c r="F4" s="48"/>
      <c r="G4" s="48"/>
      <c r="H4" s="48"/>
      <c r="I4" s="48"/>
      <c r="J4" s="15"/>
    </row>
    <row r="5" spans="1:10">
      <c r="A5" s="15"/>
      <c r="B5" s="18" t="s">
        <v>87</v>
      </c>
      <c r="C5" s="218" t="s">
        <v>346</v>
      </c>
      <c r="D5" s="219"/>
      <c r="E5" s="18" t="s">
        <v>86</v>
      </c>
      <c r="F5" s="16"/>
      <c r="G5" s="218"/>
      <c r="H5" s="219"/>
      <c r="I5" s="15"/>
      <c r="J5" s="15"/>
    </row>
    <row r="6" spans="1:10">
      <c r="A6" s="15"/>
      <c r="B6" s="18" t="s">
        <v>85</v>
      </c>
      <c r="C6" s="266" t="s">
        <v>90</v>
      </c>
      <c r="D6" s="267"/>
      <c r="E6" s="18" t="s">
        <v>84</v>
      </c>
      <c r="F6" s="16"/>
      <c r="G6" s="218" t="s">
        <v>349</v>
      </c>
      <c r="H6" s="219"/>
      <c r="I6" s="15"/>
      <c r="J6" s="15"/>
    </row>
    <row r="7" spans="1:10">
      <c r="A7" s="15"/>
      <c r="B7" s="18" t="s">
        <v>83</v>
      </c>
      <c r="C7" s="218" t="s">
        <v>347</v>
      </c>
      <c r="D7" s="219"/>
      <c r="E7" s="18" t="s">
        <v>82</v>
      </c>
      <c r="F7" s="18"/>
      <c r="G7" s="218" t="s">
        <v>350</v>
      </c>
      <c r="H7" s="219"/>
      <c r="I7" s="15"/>
      <c r="J7" s="15"/>
    </row>
    <row r="8" spans="1:10">
      <c r="A8" s="15"/>
      <c r="B8" s="18" t="s">
        <v>81</v>
      </c>
      <c r="C8" s="218" t="s">
        <v>348</v>
      </c>
      <c r="D8" s="219"/>
      <c r="E8" s="16" t="s">
        <v>80</v>
      </c>
      <c r="F8" s="16"/>
      <c r="G8" s="482">
        <v>46246</v>
      </c>
      <c r="H8" s="219"/>
      <c r="I8" s="15"/>
      <c r="J8" s="15"/>
    </row>
    <row r="9" spans="1:10">
      <c r="A9" s="15"/>
      <c r="B9" s="18" t="s">
        <v>79</v>
      </c>
      <c r="C9" s="218">
        <v>1213</v>
      </c>
      <c r="D9" s="219"/>
      <c r="E9" s="18" t="s">
        <v>78</v>
      </c>
      <c r="F9" s="18"/>
      <c r="G9" s="482">
        <v>46246</v>
      </c>
      <c r="H9" s="219"/>
      <c r="I9" s="15"/>
      <c r="J9" s="15"/>
    </row>
    <row r="10" spans="1:10">
      <c r="A10" s="15"/>
      <c r="B10" s="18" t="s">
        <v>77</v>
      </c>
      <c r="C10" s="218"/>
      <c r="D10" s="219"/>
      <c r="E10" s="18" t="s">
        <v>76</v>
      </c>
      <c r="F10" s="18"/>
      <c r="G10" s="218" t="s">
        <v>351</v>
      </c>
      <c r="H10" s="219"/>
      <c r="I10" s="15"/>
      <c r="J10" s="15"/>
    </row>
    <row r="11" spans="1:10">
      <c r="A11" s="15"/>
      <c r="B11" s="18" t="s">
        <v>75</v>
      </c>
      <c r="C11" s="239">
        <v>1</v>
      </c>
      <c r="D11" s="240"/>
      <c r="E11" s="16" t="s">
        <v>74</v>
      </c>
      <c r="F11" s="16"/>
      <c r="G11" s="482">
        <v>46611</v>
      </c>
      <c r="H11" s="219"/>
      <c r="I11" s="15"/>
      <c r="J11" s="15"/>
    </row>
    <row r="12" spans="1:10">
      <c r="A12" s="15"/>
      <c r="B12" s="16"/>
      <c r="C12" s="18"/>
      <c r="D12" s="47"/>
      <c r="E12" s="16"/>
      <c r="F12" s="18"/>
      <c r="G12" s="18"/>
      <c r="H12" s="46"/>
      <c r="I12" s="16"/>
      <c r="J12" s="15"/>
    </row>
    <row r="13" spans="1:10">
      <c r="A13" s="15"/>
      <c r="B13" s="19" t="s">
        <v>73</v>
      </c>
      <c r="C13" s="15"/>
      <c r="D13" s="17"/>
      <c r="E13" s="45"/>
      <c r="F13" s="28"/>
      <c r="G13" s="17"/>
      <c r="H13" s="16"/>
      <c r="I13" s="16"/>
      <c r="J13" s="15"/>
    </row>
    <row r="14" spans="1:10">
      <c r="A14" s="15"/>
      <c r="B14" s="27" t="s">
        <v>21</v>
      </c>
      <c r="C14" s="242" t="s">
        <v>72</v>
      </c>
      <c r="D14" s="243"/>
      <c r="E14" s="44" t="s">
        <v>71</v>
      </c>
      <c r="F14" s="27" t="s">
        <v>70</v>
      </c>
      <c r="G14" s="14" t="s">
        <v>69</v>
      </c>
      <c r="H14" s="16"/>
      <c r="I14" s="16"/>
      <c r="J14" s="15"/>
    </row>
    <row r="15" spans="1:10">
      <c r="A15" s="15"/>
      <c r="B15" s="43">
        <v>1</v>
      </c>
      <c r="C15" s="227" t="s">
        <v>91</v>
      </c>
      <c r="D15" s="229"/>
      <c r="E15" s="483" t="s">
        <v>352</v>
      </c>
      <c r="F15" s="483" t="s">
        <v>353</v>
      </c>
      <c r="G15" s="484">
        <v>40947</v>
      </c>
      <c r="H15" s="16"/>
      <c r="I15" s="16"/>
      <c r="J15" s="15"/>
    </row>
    <row r="16" spans="1:10">
      <c r="A16" s="15"/>
      <c r="B16" s="9">
        <v>2</v>
      </c>
      <c r="C16" s="42" t="s">
        <v>68</v>
      </c>
      <c r="D16" s="41"/>
      <c r="E16" s="40" t="s">
        <v>67</v>
      </c>
      <c r="F16" s="38" t="s">
        <v>344</v>
      </c>
      <c r="G16" s="39">
        <v>6579027</v>
      </c>
      <c r="H16" s="16"/>
      <c r="I16" s="16"/>
      <c r="J16" s="15"/>
    </row>
    <row r="17" spans="1:10">
      <c r="A17" s="15"/>
      <c r="B17" s="9">
        <v>3</v>
      </c>
      <c r="C17" s="227" t="s">
        <v>66</v>
      </c>
      <c r="D17" s="229"/>
      <c r="E17" s="38" t="s">
        <v>65</v>
      </c>
      <c r="F17" s="38" t="s">
        <v>64</v>
      </c>
      <c r="G17" s="38" t="s">
        <v>63</v>
      </c>
      <c r="H17" s="16"/>
      <c r="I17" s="16"/>
      <c r="J17" s="15"/>
    </row>
    <row r="18" spans="1:10">
      <c r="A18" s="15"/>
      <c r="B18" s="15"/>
      <c r="C18" s="15"/>
      <c r="D18" s="15"/>
      <c r="E18" s="15"/>
      <c r="F18" s="15"/>
      <c r="G18" s="15"/>
      <c r="H18" s="16"/>
      <c r="I18" s="16"/>
      <c r="J18" s="15"/>
    </row>
    <row r="19" spans="1:10">
      <c r="A19" s="15"/>
      <c r="B19" s="16"/>
      <c r="C19" s="19"/>
      <c r="D19" s="17"/>
      <c r="E19" s="15"/>
      <c r="F19" s="28"/>
      <c r="G19" s="17"/>
      <c r="H19" s="16"/>
      <c r="I19" s="16"/>
      <c r="J19" s="15"/>
    </row>
    <row r="20" spans="1:10">
      <c r="A20" s="15"/>
      <c r="B20" s="37" t="s">
        <v>62</v>
      </c>
      <c r="C20" s="15"/>
      <c r="D20" s="16"/>
      <c r="E20" s="15"/>
      <c r="F20" s="16"/>
      <c r="G20" s="36"/>
      <c r="H20" s="16"/>
      <c r="I20" s="18"/>
      <c r="J20" s="15"/>
    </row>
    <row r="21" spans="1:10">
      <c r="A21" s="15"/>
      <c r="B21" s="35" t="s">
        <v>61</v>
      </c>
      <c r="C21" s="27" t="s">
        <v>60</v>
      </c>
      <c r="D21" s="27" t="s">
        <v>59</v>
      </c>
      <c r="E21" s="14" t="s">
        <v>3</v>
      </c>
      <c r="F21" s="15"/>
      <c r="G21" s="21"/>
      <c r="H21" s="21"/>
      <c r="I21" s="21"/>
      <c r="J21" s="15"/>
    </row>
    <row r="22" spans="1:10">
      <c r="A22" s="15"/>
      <c r="B22" s="33" t="s">
        <v>58</v>
      </c>
      <c r="C22" s="34">
        <v>25.4</v>
      </c>
      <c r="D22" s="34">
        <v>25.5</v>
      </c>
      <c r="E22" s="7" t="s">
        <v>57</v>
      </c>
      <c r="F22" s="15"/>
      <c r="G22" s="21"/>
      <c r="H22" s="21"/>
      <c r="I22" s="21"/>
      <c r="J22" s="15"/>
    </row>
    <row r="23" spans="1:10">
      <c r="A23" s="15"/>
      <c r="B23" s="33" t="s">
        <v>56</v>
      </c>
      <c r="C23" s="32">
        <v>54</v>
      </c>
      <c r="D23" s="32">
        <v>55</v>
      </c>
      <c r="E23" s="7" t="s">
        <v>55</v>
      </c>
      <c r="F23" s="15"/>
      <c r="G23" s="21"/>
      <c r="H23" s="21"/>
      <c r="I23" s="21"/>
      <c r="J23" s="15"/>
    </row>
    <row r="24" spans="1:10">
      <c r="A24" s="15"/>
      <c r="B24" s="245" t="s">
        <v>54</v>
      </c>
      <c r="C24" s="31" t="s">
        <v>53</v>
      </c>
      <c r="D24" s="30">
        <v>231.5</v>
      </c>
      <c r="E24" s="17" t="s">
        <v>52</v>
      </c>
      <c r="F24" s="17"/>
      <c r="G24" s="17"/>
      <c r="H24" s="29"/>
      <c r="I24" s="29"/>
      <c r="J24" s="15"/>
    </row>
    <row r="25" spans="1:10">
      <c r="A25" s="15"/>
      <c r="B25" s="246"/>
      <c r="C25" s="31" t="s">
        <v>51</v>
      </c>
      <c r="D25" s="30">
        <v>88.6</v>
      </c>
      <c r="E25" s="18" t="s">
        <v>49</v>
      </c>
      <c r="F25" s="17"/>
      <c r="G25" s="17"/>
      <c r="H25" s="29"/>
      <c r="I25" s="29"/>
      <c r="J25" s="15"/>
    </row>
    <row r="26" spans="1:10">
      <c r="A26" s="15"/>
      <c r="B26" s="247"/>
      <c r="C26" s="31" t="s">
        <v>50</v>
      </c>
      <c r="D26" s="30">
        <v>136.9</v>
      </c>
      <c r="E26" s="18" t="s">
        <v>49</v>
      </c>
      <c r="F26" s="17"/>
      <c r="G26" s="17"/>
      <c r="H26" s="29"/>
      <c r="I26" s="29"/>
      <c r="J26" s="15"/>
    </row>
    <row r="27" spans="1:10">
      <c r="A27" s="15"/>
      <c r="B27" s="16"/>
      <c r="C27" s="17"/>
      <c r="D27" s="21"/>
      <c r="E27" s="21"/>
      <c r="F27" s="17"/>
      <c r="G27" s="17"/>
      <c r="H27" s="29"/>
      <c r="I27" s="29"/>
      <c r="J27" s="15"/>
    </row>
    <row r="28" spans="1:10">
      <c r="A28" s="15"/>
      <c r="B28" s="16"/>
      <c r="C28" s="17"/>
      <c r="D28" s="28"/>
      <c r="E28" s="17"/>
      <c r="F28" s="17"/>
      <c r="G28" s="17"/>
      <c r="H28" s="16"/>
      <c r="I28" s="16"/>
      <c r="J28" s="15"/>
    </row>
    <row r="29" spans="1:10">
      <c r="A29" s="15"/>
      <c r="B29" s="19" t="s">
        <v>48</v>
      </c>
      <c r="C29" s="15"/>
      <c r="D29" s="28"/>
      <c r="E29" s="17"/>
      <c r="F29" s="17"/>
      <c r="G29" s="17"/>
      <c r="H29" s="16"/>
      <c r="I29" s="16"/>
      <c r="J29" s="15"/>
    </row>
    <row r="30" spans="1:10">
      <c r="A30" s="15"/>
      <c r="B30" s="27" t="s">
        <v>47</v>
      </c>
      <c r="C30" s="248" t="s">
        <v>46</v>
      </c>
      <c r="D30" s="250"/>
      <c r="E30" s="249"/>
      <c r="F30" s="248" t="s">
        <v>45</v>
      </c>
      <c r="G30" s="249"/>
      <c r="H30" s="15"/>
      <c r="I30" s="21"/>
      <c r="J30" s="21"/>
    </row>
    <row r="31" spans="1:10">
      <c r="A31" s="15"/>
      <c r="B31" s="245" t="s">
        <v>44</v>
      </c>
      <c r="C31" s="255" t="s">
        <v>43</v>
      </c>
      <c r="D31" s="256"/>
      <c r="E31" s="257"/>
      <c r="F31" s="26">
        <v>1</v>
      </c>
      <c r="G31" s="253" t="s">
        <v>38</v>
      </c>
      <c r="H31" s="15"/>
      <c r="I31" s="21"/>
      <c r="J31" s="21"/>
    </row>
    <row r="32" spans="1:10">
      <c r="A32" s="15"/>
      <c r="B32" s="246"/>
      <c r="C32" s="258"/>
      <c r="D32" s="259"/>
      <c r="E32" s="260"/>
      <c r="F32" s="25"/>
      <c r="G32" s="254"/>
      <c r="H32" s="15"/>
      <c r="I32" s="21"/>
      <c r="J32" s="21"/>
    </row>
    <row r="33" spans="1:10">
      <c r="A33" s="15"/>
      <c r="B33" s="246"/>
      <c r="C33" s="258"/>
      <c r="D33" s="259"/>
      <c r="E33" s="260"/>
      <c r="F33" s="25"/>
      <c r="G33" s="253" t="s">
        <v>37</v>
      </c>
      <c r="H33" s="15"/>
      <c r="I33" s="21"/>
      <c r="J33" s="21"/>
    </row>
    <row r="34" spans="1:10">
      <c r="A34" s="15"/>
      <c r="B34" s="247"/>
      <c r="C34" s="261"/>
      <c r="D34" s="262"/>
      <c r="E34" s="263"/>
      <c r="F34" s="24"/>
      <c r="G34" s="254"/>
      <c r="H34" s="15"/>
      <c r="I34" s="21"/>
      <c r="J34" s="21"/>
    </row>
    <row r="35" spans="1:10">
      <c r="A35" s="15"/>
      <c r="B35" s="241" t="s">
        <v>92</v>
      </c>
      <c r="C35" s="264" t="s">
        <v>42</v>
      </c>
      <c r="D35" s="264"/>
      <c r="E35" s="264"/>
      <c r="F35" s="220">
        <v>1</v>
      </c>
      <c r="G35" s="252" t="s">
        <v>38</v>
      </c>
      <c r="H35" s="15"/>
      <c r="I35" s="21"/>
      <c r="J35" s="21"/>
    </row>
    <row r="36" spans="1:10">
      <c r="A36" s="15"/>
      <c r="B36" s="241"/>
      <c r="C36" s="264"/>
      <c r="D36" s="264"/>
      <c r="E36" s="264"/>
      <c r="F36" s="222"/>
      <c r="G36" s="252"/>
      <c r="H36" s="15"/>
      <c r="I36" s="21"/>
      <c r="J36" s="21"/>
    </row>
    <row r="37" spans="1:10">
      <c r="A37" s="15"/>
      <c r="B37" s="241"/>
      <c r="C37" s="264"/>
      <c r="D37" s="264"/>
      <c r="E37" s="264"/>
      <c r="F37" s="222"/>
      <c r="G37" s="252" t="s">
        <v>37</v>
      </c>
      <c r="H37" s="15"/>
      <c r="I37" s="21"/>
      <c r="J37" s="21"/>
    </row>
    <row r="38" spans="1:10">
      <c r="A38" s="15"/>
      <c r="B38" s="241"/>
      <c r="C38" s="264"/>
      <c r="D38" s="264"/>
      <c r="E38" s="264"/>
      <c r="F38" s="221"/>
      <c r="G38" s="252"/>
      <c r="H38" s="15"/>
      <c r="I38" s="21"/>
      <c r="J38" s="21"/>
    </row>
    <row r="39" spans="1:10">
      <c r="A39" s="15"/>
      <c r="B39" s="244" t="s">
        <v>41</v>
      </c>
      <c r="C39" s="251" t="s">
        <v>40</v>
      </c>
      <c r="D39" s="251"/>
      <c r="E39" s="251"/>
      <c r="F39" s="220">
        <v>1</v>
      </c>
      <c r="G39" s="22" t="s">
        <v>38</v>
      </c>
      <c r="H39" s="15"/>
      <c r="I39" s="21"/>
      <c r="J39" s="21"/>
    </row>
    <row r="40" spans="1:10">
      <c r="A40" s="15"/>
      <c r="B40" s="244"/>
      <c r="C40" s="251"/>
      <c r="D40" s="251"/>
      <c r="E40" s="251"/>
      <c r="F40" s="221"/>
      <c r="G40" s="22" t="s">
        <v>37</v>
      </c>
      <c r="H40" s="15"/>
      <c r="I40" s="21"/>
      <c r="J40" s="21"/>
    </row>
    <row r="41" spans="1:10">
      <c r="A41" s="15"/>
      <c r="B41" s="241" t="s">
        <v>39</v>
      </c>
      <c r="C41" s="223" t="s">
        <v>93</v>
      </c>
      <c r="D41" s="223"/>
      <c r="E41" s="223"/>
      <c r="F41" s="220">
        <v>1</v>
      </c>
      <c r="G41" s="252" t="s">
        <v>38</v>
      </c>
      <c r="H41" s="15"/>
      <c r="I41" s="21"/>
      <c r="J41" s="21"/>
    </row>
    <row r="42" spans="1:10">
      <c r="A42" s="15"/>
      <c r="B42" s="241"/>
      <c r="C42" s="223"/>
      <c r="D42" s="223"/>
      <c r="E42" s="223"/>
      <c r="F42" s="222"/>
      <c r="G42" s="252"/>
      <c r="H42" s="15"/>
      <c r="I42" s="21"/>
      <c r="J42" s="21"/>
    </row>
    <row r="43" spans="1:10">
      <c r="A43" s="15"/>
      <c r="B43" s="241"/>
      <c r="C43" s="223"/>
      <c r="D43" s="223"/>
      <c r="E43" s="223"/>
      <c r="F43" s="222"/>
      <c r="G43" s="252" t="s">
        <v>37</v>
      </c>
      <c r="H43" s="15"/>
      <c r="I43" s="21"/>
      <c r="J43" s="21"/>
    </row>
    <row r="44" spans="1:10">
      <c r="A44" s="15"/>
      <c r="B44" s="241"/>
      <c r="C44" s="223"/>
      <c r="D44" s="223"/>
      <c r="E44" s="223"/>
      <c r="F44" s="221"/>
      <c r="G44" s="252"/>
      <c r="H44" s="15"/>
      <c r="I44" s="21"/>
      <c r="J44" s="21"/>
    </row>
    <row r="45" spans="1:10" ht="16.5" customHeight="1">
      <c r="A45" s="15"/>
      <c r="B45" s="241" t="s">
        <v>94</v>
      </c>
      <c r="C45" s="223" t="s">
        <v>95</v>
      </c>
      <c r="D45" s="223"/>
      <c r="E45" s="223"/>
      <c r="F45" s="220">
        <v>1</v>
      </c>
      <c r="G45" s="22" t="s">
        <v>38</v>
      </c>
      <c r="H45" s="15"/>
      <c r="I45" s="21"/>
      <c r="J45" s="21"/>
    </row>
    <row r="46" spans="1:10">
      <c r="A46" s="15"/>
      <c r="B46" s="241"/>
      <c r="C46" s="223"/>
      <c r="D46" s="223"/>
      <c r="E46" s="223"/>
      <c r="F46" s="221"/>
      <c r="G46" s="22" t="s">
        <v>37</v>
      </c>
      <c r="H46" s="15"/>
      <c r="I46" s="21"/>
      <c r="J46" s="21"/>
    </row>
    <row r="47" spans="1:10" ht="17.25" customHeight="1">
      <c r="A47" s="15"/>
      <c r="B47" s="241" t="s">
        <v>96</v>
      </c>
      <c r="C47" s="223" t="s">
        <v>97</v>
      </c>
      <c r="D47" s="223"/>
      <c r="E47" s="223"/>
      <c r="F47" s="220">
        <v>1</v>
      </c>
      <c r="G47" s="22" t="s">
        <v>38</v>
      </c>
      <c r="H47" s="15"/>
      <c r="I47" s="21"/>
      <c r="J47" s="21"/>
    </row>
    <row r="48" spans="1:10">
      <c r="A48" s="15"/>
      <c r="B48" s="241"/>
      <c r="C48" s="223"/>
      <c r="D48" s="223"/>
      <c r="E48" s="223"/>
      <c r="F48" s="221"/>
      <c r="G48" s="22" t="s">
        <v>37</v>
      </c>
      <c r="H48" s="15"/>
      <c r="I48" s="21"/>
      <c r="J48" s="21"/>
    </row>
    <row r="49" spans="1:12">
      <c r="A49" s="15"/>
      <c r="B49" s="241" t="s">
        <v>98</v>
      </c>
      <c r="C49" s="223" t="s">
        <v>99</v>
      </c>
      <c r="D49" s="223"/>
      <c r="E49" s="223"/>
      <c r="F49" s="220">
        <v>1</v>
      </c>
      <c r="G49" s="22" t="s">
        <v>38</v>
      </c>
      <c r="H49" s="15"/>
      <c r="I49" s="21"/>
      <c r="J49" s="21"/>
    </row>
    <row r="50" spans="1:12">
      <c r="A50" s="15"/>
      <c r="B50" s="241"/>
      <c r="C50" s="223"/>
      <c r="D50" s="223"/>
      <c r="E50" s="223"/>
      <c r="F50" s="222"/>
      <c r="G50" s="22"/>
      <c r="H50" s="15"/>
      <c r="I50" s="21"/>
      <c r="J50" s="21"/>
    </row>
    <row r="51" spans="1:12">
      <c r="A51" s="15"/>
      <c r="B51" s="241"/>
      <c r="C51" s="223"/>
      <c r="D51" s="223"/>
      <c r="E51" s="223"/>
      <c r="F51" s="222"/>
      <c r="G51" s="22" t="s">
        <v>37</v>
      </c>
      <c r="H51" s="15"/>
      <c r="I51" s="21"/>
      <c r="J51" s="21"/>
    </row>
    <row r="52" spans="1:12">
      <c r="A52" s="15"/>
      <c r="B52" s="241"/>
      <c r="C52" s="223"/>
      <c r="D52" s="223"/>
      <c r="E52" s="223"/>
      <c r="F52" s="221"/>
      <c r="G52" s="22"/>
      <c r="H52" s="15"/>
      <c r="I52" s="21"/>
      <c r="J52" s="21"/>
    </row>
    <row r="53" spans="1:12" ht="17.25" customHeight="1"/>
    <row r="54" spans="1:12" ht="17.25" customHeight="1">
      <c r="B54" s="19" t="s">
        <v>36</v>
      </c>
      <c r="C54" s="15"/>
      <c r="D54" s="18"/>
      <c r="E54" s="17"/>
      <c r="F54" s="17"/>
      <c r="G54" s="17"/>
      <c r="H54" s="16"/>
      <c r="I54" s="16"/>
      <c r="J54" s="15"/>
      <c r="K54" s="15"/>
      <c r="L54" s="15"/>
    </row>
    <row r="55" spans="1:12" ht="29.25" customHeight="1">
      <c r="B55" s="227" t="s">
        <v>35</v>
      </c>
      <c r="C55" s="228"/>
      <c r="D55" s="229"/>
      <c r="E55" s="9" t="s">
        <v>34</v>
      </c>
      <c r="F55" s="9" t="s">
        <v>33</v>
      </c>
      <c r="G55" s="9" t="s">
        <v>32</v>
      </c>
      <c r="H55" s="16"/>
      <c r="I55" s="16"/>
      <c r="J55" s="15"/>
      <c r="K55" s="15"/>
      <c r="L55" s="15"/>
    </row>
    <row r="56" spans="1:12" ht="31.5" customHeight="1">
      <c r="B56" s="227" t="s">
        <v>31</v>
      </c>
      <c r="C56" s="228"/>
      <c r="D56" s="229"/>
      <c r="E56" s="9" t="s">
        <v>2</v>
      </c>
      <c r="F56" s="9" t="s">
        <v>1</v>
      </c>
      <c r="G56" s="9" t="s">
        <v>30</v>
      </c>
      <c r="H56" s="17"/>
      <c r="I56" s="17"/>
      <c r="J56" s="20"/>
      <c r="K56" s="20"/>
      <c r="L56" s="20"/>
    </row>
    <row r="57" spans="1:12" ht="24.75" customHeight="1">
      <c r="B57" s="227" t="s">
        <v>29</v>
      </c>
      <c r="C57" s="228"/>
      <c r="D57" s="229"/>
      <c r="E57" s="9" t="s">
        <v>28</v>
      </c>
      <c r="F57" s="9" t="s">
        <v>27</v>
      </c>
      <c r="G57" s="9" t="s">
        <v>26</v>
      </c>
      <c r="H57" s="16"/>
      <c r="I57" s="16"/>
      <c r="J57" s="15"/>
      <c r="K57" s="15"/>
      <c r="L57" s="15"/>
    </row>
    <row r="58" spans="1:12" ht="18.75" customHeight="1">
      <c r="B58" s="230" t="s">
        <v>25</v>
      </c>
      <c r="C58" s="231"/>
      <c r="D58" s="232"/>
      <c r="E58" s="224" t="s">
        <v>24</v>
      </c>
      <c r="F58" s="225"/>
      <c r="G58" s="226"/>
      <c r="H58" s="16"/>
      <c r="I58" s="16"/>
      <c r="J58" s="15"/>
      <c r="K58" s="15"/>
      <c r="L58" s="15"/>
    </row>
    <row r="59" spans="1:12" ht="18.75" customHeight="1">
      <c r="B59" s="233"/>
      <c r="C59" s="234"/>
      <c r="D59" s="235"/>
      <c r="E59" s="224" t="s">
        <v>23</v>
      </c>
      <c r="F59" s="225"/>
      <c r="G59" s="226"/>
      <c r="H59" s="16"/>
      <c r="I59" s="16"/>
      <c r="J59" s="15"/>
      <c r="K59" s="15"/>
      <c r="L59" s="15"/>
    </row>
    <row r="60" spans="1:12" ht="18.75" customHeight="1">
      <c r="B60" s="236"/>
      <c r="C60" s="237"/>
      <c r="D60" s="238"/>
      <c r="E60" s="224" t="s">
        <v>22</v>
      </c>
      <c r="F60" s="225"/>
      <c r="G60" s="226"/>
      <c r="H60" s="16"/>
      <c r="I60" s="16"/>
      <c r="J60" s="15"/>
      <c r="K60" s="15"/>
      <c r="L60" s="15"/>
    </row>
    <row r="61" spans="1:12" ht="18.75" customHeight="1">
      <c r="B61" s="19"/>
      <c r="C61" s="15"/>
      <c r="D61" s="18"/>
      <c r="E61" s="17"/>
      <c r="F61" s="17"/>
      <c r="G61" s="17"/>
      <c r="H61" s="16"/>
      <c r="I61" s="16"/>
      <c r="J61" s="15"/>
      <c r="K61" s="15"/>
      <c r="L61" s="15"/>
    </row>
    <row r="62" spans="1:12" ht="18.75" customHeight="1">
      <c r="B62" s="210" t="s">
        <v>21</v>
      </c>
      <c r="C62" s="212" t="s">
        <v>20</v>
      </c>
      <c r="D62" s="213"/>
      <c r="E62" s="214"/>
      <c r="F62" s="210" t="s">
        <v>19</v>
      </c>
      <c r="G62" s="211" t="s">
        <v>18</v>
      </c>
      <c r="H62" s="211"/>
      <c r="I62" s="210" t="s">
        <v>17</v>
      </c>
      <c r="J62" s="210"/>
      <c r="K62" s="210"/>
      <c r="L62" s="5"/>
    </row>
    <row r="63" spans="1:12" ht="18.75" customHeight="1">
      <c r="B63" s="210"/>
      <c r="C63" s="215"/>
      <c r="D63" s="216"/>
      <c r="E63" s="217"/>
      <c r="F63" s="210"/>
      <c r="G63" s="14" t="s">
        <v>16</v>
      </c>
      <c r="H63" s="14" t="s">
        <v>15</v>
      </c>
      <c r="I63" s="210"/>
      <c r="J63" s="210"/>
      <c r="K63" s="210"/>
      <c r="L63" s="5"/>
    </row>
    <row r="64" spans="1:12" ht="17.25" customHeight="1">
      <c r="B64" s="9">
        <v>1</v>
      </c>
      <c r="C64" s="208" t="s">
        <v>14</v>
      </c>
      <c r="D64" s="208"/>
      <c r="E64" s="208"/>
      <c r="F64" s="13">
        <v>0.224</v>
      </c>
      <c r="G64" s="7" t="s">
        <v>7</v>
      </c>
      <c r="H64" s="7"/>
      <c r="I64" s="11" t="s">
        <v>6</v>
      </c>
      <c r="J64" s="12">
        <v>0.3</v>
      </c>
      <c r="K64" s="11" t="s">
        <v>13</v>
      </c>
      <c r="L64" s="10"/>
    </row>
    <row r="65" spans="2:12" ht="17.25" customHeight="1">
      <c r="B65" s="9">
        <v>2</v>
      </c>
      <c r="C65" s="209" t="s">
        <v>12</v>
      </c>
      <c r="D65" s="209"/>
      <c r="E65" s="209"/>
      <c r="F65" s="8" t="s">
        <v>11</v>
      </c>
      <c r="G65" s="7" t="s">
        <v>7</v>
      </c>
      <c r="H65" s="7"/>
      <c r="I65" s="6" t="s">
        <v>10</v>
      </c>
      <c r="J65" s="6">
        <v>2</v>
      </c>
      <c r="K65" s="6" t="s">
        <v>9</v>
      </c>
      <c r="L65" s="5"/>
    </row>
    <row r="66" spans="2:12" ht="17.25" customHeight="1">
      <c r="B66" s="9">
        <v>3</v>
      </c>
      <c r="C66" s="209" t="s">
        <v>8</v>
      </c>
      <c r="D66" s="209"/>
      <c r="E66" s="209"/>
      <c r="F66" s="8">
        <v>0.1</v>
      </c>
      <c r="G66" s="7" t="s">
        <v>7</v>
      </c>
      <c r="H66" s="7"/>
      <c r="I66" s="6" t="s">
        <v>6</v>
      </c>
      <c r="J66" s="6">
        <v>500</v>
      </c>
      <c r="K66" s="6" t="s">
        <v>5</v>
      </c>
      <c r="L66" s="5"/>
    </row>
    <row r="67" spans="2:12" ht="17.25" customHeight="1"/>
    <row r="68" spans="2:12">
      <c r="B68" s="4" t="s">
        <v>4</v>
      </c>
    </row>
    <row r="69" spans="2:12">
      <c r="B69" s="1" t="s">
        <v>334</v>
      </c>
    </row>
    <row r="70" spans="2:12">
      <c r="B70" s="1" t="s">
        <v>109</v>
      </c>
      <c r="C70" s="1" t="s">
        <v>152</v>
      </c>
    </row>
    <row r="71" spans="2:12">
      <c r="B71" s="268" t="s">
        <v>21</v>
      </c>
      <c r="C71" s="268" t="s">
        <v>100</v>
      </c>
      <c r="D71" s="268" t="s">
        <v>101</v>
      </c>
      <c r="E71" s="268"/>
      <c r="F71" s="268"/>
      <c r="G71" s="268"/>
      <c r="H71" s="268"/>
      <c r="I71" s="268"/>
      <c r="J71" s="268" t="s">
        <v>3</v>
      </c>
    </row>
    <row r="72" spans="2:12">
      <c r="B72" s="268"/>
      <c r="C72" s="268"/>
      <c r="D72" s="269" t="s">
        <v>102</v>
      </c>
      <c r="E72" s="269"/>
      <c r="F72" s="268" t="s">
        <v>103</v>
      </c>
      <c r="G72" s="268"/>
      <c r="H72" s="268" t="s">
        <v>104</v>
      </c>
      <c r="I72" s="268"/>
      <c r="J72" s="268"/>
    </row>
    <row r="73" spans="2:12">
      <c r="B73" s="268"/>
      <c r="C73" s="2" t="s">
        <v>105</v>
      </c>
      <c r="D73" s="52" t="s">
        <v>106</v>
      </c>
      <c r="E73" s="52" t="s">
        <v>107</v>
      </c>
      <c r="F73" s="2" t="s">
        <v>106</v>
      </c>
      <c r="G73" s="2" t="s">
        <v>107</v>
      </c>
      <c r="H73" s="2" t="s">
        <v>106</v>
      </c>
      <c r="I73" s="2" t="s">
        <v>107</v>
      </c>
      <c r="J73" s="268"/>
    </row>
    <row r="74" spans="2:12">
      <c r="B74" s="2">
        <v>1</v>
      </c>
      <c r="C74" s="3">
        <v>5</v>
      </c>
      <c r="D74" s="52">
        <v>5.1100000000000003</v>
      </c>
      <c r="E74" s="52">
        <v>5.1100000000000003</v>
      </c>
      <c r="F74" s="52">
        <v>5.1100000000000003</v>
      </c>
      <c r="G74" s="52">
        <v>5.1100000000000003</v>
      </c>
      <c r="H74" s="52">
        <v>5.1100000000000003</v>
      </c>
      <c r="I74" s="52">
        <v>5.14</v>
      </c>
      <c r="J74" s="268" t="s">
        <v>108</v>
      </c>
    </row>
    <row r="75" spans="2:12">
      <c r="B75" s="2">
        <v>2</v>
      </c>
      <c r="C75" s="3">
        <v>10</v>
      </c>
      <c r="D75" s="52">
        <v>10.24</v>
      </c>
      <c r="E75" s="52">
        <v>10.24</v>
      </c>
      <c r="F75" s="52">
        <v>10.24</v>
      </c>
      <c r="G75" s="52">
        <v>10.24</v>
      </c>
      <c r="H75" s="52">
        <v>10.24</v>
      </c>
      <c r="I75" s="52">
        <v>10.210000000000001</v>
      </c>
      <c r="J75" s="268"/>
    </row>
    <row r="76" spans="2:12">
      <c r="B76" s="2">
        <v>3</v>
      </c>
      <c r="C76" s="3">
        <v>15</v>
      </c>
      <c r="D76" s="52">
        <v>15.24</v>
      </c>
      <c r="E76" s="52">
        <v>15.24</v>
      </c>
      <c r="F76" s="52">
        <v>15.24</v>
      </c>
      <c r="G76" s="52">
        <v>15.24</v>
      </c>
      <c r="H76" s="52">
        <v>15.22</v>
      </c>
      <c r="I76" s="52">
        <v>15.24</v>
      </c>
      <c r="J76" s="268"/>
    </row>
    <row r="77" spans="2:12">
      <c r="B77" s="2">
        <v>4</v>
      </c>
      <c r="C77" s="3">
        <v>20</v>
      </c>
      <c r="D77" s="52">
        <v>20.149999999999999</v>
      </c>
      <c r="E77" s="52">
        <v>20.149999999999999</v>
      </c>
      <c r="F77" s="52">
        <v>20.149999999999999</v>
      </c>
      <c r="G77" s="52">
        <v>20.14</v>
      </c>
      <c r="H77" s="52">
        <v>20.149999999999999</v>
      </c>
      <c r="I77" s="52">
        <v>20.149999999999999</v>
      </c>
      <c r="J77" s="268"/>
    </row>
    <row r="78" spans="2:12">
      <c r="B78" s="2">
        <v>5</v>
      </c>
      <c r="C78" s="3">
        <v>25</v>
      </c>
      <c r="D78" s="52">
        <v>25.14</v>
      </c>
      <c r="E78" s="52">
        <v>25.14</v>
      </c>
      <c r="F78" s="52">
        <v>25.14</v>
      </c>
      <c r="G78" s="52">
        <v>25.14</v>
      </c>
      <c r="H78" s="52">
        <v>25.14</v>
      </c>
      <c r="I78" s="52">
        <v>25.21</v>
      </c>
      <c r="J78" s="268"/>
    </row>
    <row r="79" spans="2:12">
      <c r="B79" s="2">
        <v>6</v>
      </c>
      <c r="C79" s="3">
        <v>30</v>
      </c>
      <c r="D79" s="52">
        <v>30.25</v>
      </c>
      <c r="E79" s="52">
        <v>30.25</v>
      </c>
      <c r="F79" s="52">
        <v>30.25</v>
      </c>
      <c r="G79" s="52">
        <v>30.25</v>
      </c>
      <c r="H79" s="52">
        <v>30.25</v>
      </c>
      <c r="I79" s="52">
        <v>30.25</v>
      </c>
      <c r="J79" s="268"/>
    </row>
  </sheetData>
  <mergeCells count="70">
    <mergeCell ref="J74:J79"/>
    <mergeCell ref="B71:B73"/>
    <mergeCell ref="C71:C72"/>
    <mergeCell ref="D71:I71"/>
    <mergeCell ref="J71:J73"/>
    <mergeCell ref="D72:E72"/>
    <mergeCell ref="F72:G72"/>
    <mergeCell ref="H72:I72"/>
    <mergeCell ref="C2:H2"/>
    <mergeCell ref="G5:H5"/>
    <mergeCell ref="C6:D6"/>
    <mergeCell ref="G6:H6"/>
    <mergeCell ref="C7:D7"/>
    <mergeCell ref="G7:H7"/>
    <mergeCell ref="C5:D5"/>
    <mergeCell ref="G8:H8"/>
    <mergeCell ref="C9:D9"/>
    <mergeCell ref="G9:H9"/>
    <mergeCell ref="C10:D10"/>
    <mergeCell ref="G10:H10"/>
    <mergeCell ref="C8:D8"/>
    <mergeCell ref="F45:F46"/>
    <mergeCell ref="F30:G30"/>
    <mergeCell ref="C30:E30"/>
    <mergeCell ref="F35:F38"/>
    <mergeCell ref="F39:F40"/>
    <mergeCell ref="F41:F44"/>
    <mergeCell ref="C39:E40"/>
    <mergeCell ref="C41:E44"/>
    <mergeCell ref="G41:G42"/>
    <mergeCell ref="G43:G44"/>
    <mergeCell ref="G31:G32"/>
    <mergeCell ref="G33:G34"/>
    <mergeCell ref="G35:G36"/>
    <mergeCell ref="G37:G38"/>
    <mergeCell ref="C31:E34"/>
    <mergeCell ref="C35:E38"/>
    <mergeCell ref="C14:D14"/>
    <mergeCell ref="C15:D15"/>
    <mergeCell ref="B49:B52"/>
    <mergeCell ref="B45:B46"/>
    <mergeCell ref="C47:E48"/>
    <mergeCell ref="B47:B48"/>
    <mergeCell ref="B39:B40"/>
    <mergeCell ref="C17:D17"/>
    <mergeCell ref="B31:B34"/>
    <mergeCell ref="B35:B38"/>
    <mergeCell ref="B24:B26"/>
    <mergeCell ref="G11:H11"/>
    <mergeCell ref="F47:F48"/>
    <mergeCell ref="F49:F52"/>
    <mergeCell ref="C49:E52"/>
    <mergeCell ref="I62:K63"/>
    <mergeCell ref="E58:G58"/>
    <mergeCell ref="E59:G59"/>
    <mergeCell ref="E60:G60"/>
    <mergeCell ref="B55:D55"/>
    <mergeCell ref="B56:D56"/>
    <mergeCell ref="B57:D57"/>
    <mergeCell ref="B58:D60"/>
    <mergeCell ref="B62:B63"/>
    <mergeCell ref="C11:D11"/>
    <mergeCell ref="C45:E46"/>
    <mergeCell ref="B41:B44"/>
    <mergeCell ref="C64:E64"/>
    <mergeCell ref="C65:E65"/>
    <mergeCell ref="C66:E66"/>
    <mergeCell ref="F62:F63"/>
    <mergeCell ref="G62:H62"/>
    <mergeCell ref="C62:E63"/>
  </mergeCells>
  <pageMargins left="0.7" right="0.7" top="0.75" bottom="0.7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4F5C0-6F60-4A73-99C2-469CC7CA0F74}">
  <dimension ref="B1:AE111"/>
  <sheetViews>
    <sheetView topLeftCell="A24" zoomScaleNormal="100" workbookViewId="0">
      <selection activeCell="C31" sqref="C31:G34"/>
    </sheetView>
  </sheetViews>
  <sheetFormatPr defaultRowHeight="15"/>
  <cols>
    <col min="2" max="2" width="12.7109375" customWidth="1"/>
    <col min="4" max="4" width="15" customWidth="1"/>
    <col min="5" max="5" width="12.7109375" customWidth="1"/>
    <col min="6" max="6" width="15.28515625" customWidth="1"/>
    <col min="7" max="7" width="14.140625" customWidth="1"/>
    <col min="8" max="8" width="12.85546875" customWidth="1"/>
    <col min="9" max="9" width="16.42578125" customWidth="1"/>
    <col min="13" max="13" width="13" customWidth="1"/>
    <col min="14" max="14" width="12.5703125" customWidth="1"/>
    <col min="15" max="15" width="11.85546875" customWidth="1"/>
    <col min="20" max="20" width="13.42578125" customWidth="1"/>
    <col min="21" max="21" width="10.140625" customWidth="1"/>
    <col min="22" max="22" width="11.85546875" customWidth="1"/>
    <col min="23" max="23" width="11.28515625" customWidth="1"/>
    <col min="24" max="24" width="10.140625" bestFit="1" customWidth="1"/>
    <col min="25" max="25" width="12.85546875" customWidth="1"/>
    <col min="26" max="26" width="8.140625" customWidth="1"/>
    <col min="27" max="27" width="13" customWidth="1"/>
    <col min="28" max="28" width="12.7109375" customWidth="1"/>
    <col min="29" max="31" width="13.5703125" bestFit="1" customWidth="1"/>
  </cols>
  <sheetData>
    <row r="1" spans="2:25">
      <c r="B1" s="16"/>
      <c r="C1" s="18"/>
      <c r="D1" s="18"/>
      <c r="E1" s="18"/>
      <c r="F1" s="18"/>
      <c r="G1" s="18"/>
      <c r="H1" s="18"/>
      <c r="I1" s="18"/>
      <c r="J1" s="18"/>
      <c r="K1" s="16"/>
      <c r="L1" s="15"/>
      <c r="M1" s="15"/>
      <c r="N1" s="15"/>
    </row>
    <row r="2" spans="2:25">
      <c r="B2" s="16"/>
      <c r="C2" s="265" t="s">
        <v>144</v>
      </c>
      <c r="D2" s="265"/>
      <c r="E2" s="265"/>
      <c r="F2" s="265"/>
      <c r="G2" s="265"/>
      <c r="H2" s="265"/>
      <c r="I2" s="265"/>
      <c r="J2" s="265"/>
      <c r="K2" s="50"/>
      <c r="L2" s="15"/>
      <c r="M2" s="15"/>
      <c r="N2" s="15"/>
    </row>
    <row r="3" spans="2:25">
      <c r="B3" s="16"/>
      <c r="C3" s="49"/>
      <c r="D3" s="49"/>
      <c r="E3" s="49"/>
      <c r="F3" s="49"/>
      <c r="G3" s="49"/>
      <c r="H3" s="49"/>
      <c r="I3" s="17"/>
      <c r="J3" s="49"/>
      <c r="K3" s="49"/>
      <c r="L3" s="15"/>
      <c r="M3" s="15"/>
      <c r="N3" s="15"/>
    </row>
    <row r="4" spans="2:25">
      <c r="B4" s="37" t="s">
        <v>88</v>
      </c>
      <c r="C4" s="15"/>
      <c r="D4" s="48"/>
      <c r="E4" s="48"/>
      <c r="F4" s="48"/>
      <c r="G4" s="48"/>
      <c r="H4" s="48"/>
      <c r="I4" s="48"/>
      <c r="J4" s="48"/>
      <c r="K4" s="48"/>
      <c r="L4" s="15"/>
      <c r="M4" s="15"/>
      <c r="N4" s="15"/>
    </row>
    <row r="5" spans="2:25">
      <c r="B5" s="18" t="s">
        <v>87</v>
      </c>
      <c r="C5" s="290" t="str">
        <f>'input data'!C5</f>
        <v>S.431</v>
      </c>
      <c r="D5" s="290"/>
      <c r="E5" s="290"/>
      <c r="F5" s="290"/>
      <c r="G5" s="18" t="s">
        <v>86</v>
      </c>
      <c r="H5" s="290">
        <f>'input data'!G5</f>
        <v>0</v>
      </c>
      <c r="I5" s="290"/>
      <c r="J5" s="290"/>
      <c r="K5" s="15"/>
      <c r="L5" s="15"/>
      <c r="M5" s="15"/>
      <c r="N5" s="15"/>
    </row>
    <row r="6" spans="2:25">
      <c r="B6" s="18" t="s">
        <v>85</v>
      </c>
      <c r="C6" s="290" t="str">
        <f>'input data'!C6</f>
        <v>Phaco Emulsifikasi</v>
      </c>
      <c r="D6" s="290"/>
      <c r="E6" s="290"/>
      <c r="F6" s="290"/>
      <c r="G6" s="18" t="s">
        <v>84</v>
      </c>
      <c r="H6" s="290" t="str">
        <f>'input data'!G6</f>
        <v>PT. Bumi Indah Putra</v>
      </c>
      <c r="I6" s="290"/>
      <c r="J6" s="290"/>
      <c r="K6" s="15"/>
      <c r="L6" s="15"/>
      <c r="M6" s="15"/>
      <c r="N6" s="15"/>
    </row>
    <row r="7" spans="2:25">
      <c r="B7" s="18" t="s">
        <v>83</v>
      </c>
      <c r="C7" s="290" t="str">
        <f>'input data'!C7</f>
        <v>MD</v>
      </c>
      <c r="D7" s="290"/>
      <c r="E7" s="290"/>
      <c r="F7" s="290"/>
      <c r="G7" s="18" t="s">
        <v>82</v>
      </c>
      <c r="H7" s="290" t="str">
        <f>'input data'!G7</f>
        <v>lab</v>
      </c>
      <c r="I7" s="290"/>
      <c r="J7" s="290"/>
      <c r="K7" s="15"/>
      <c r="L7" s="15"/>
      <c r="M7" s="15"/>
      <c r="N7" s="15"/>
    </row>
    <row r="8" spans="2:25">
      <c r="B8" s="18" t="s">
        <v>81</v>
      </c>
      <c r="C8" s="290" t="str">
        <f>'input data'!C8</f>
        <v>MD-480A</v>
      </c>
      <c r="D8" s="290"/>
      <c r="E8" s="290"/>
      <c r="F8" s="290"/>
      <c r="G8" s="16" t="s">
        <v>80</v>
      </c>
      <c r="H8" s="290">
        <f>'input data'!G8</f>
        <v>46246</v>
      </c>
      <c r="I8" s="290"/>
      <c r="J8" s="290"/>
      <c r="K8" s="15"/>
      <c r="L8" s="15"/>
      <c r="M8" s="15"/>
      <c r="N8" s="15"/>
    </row>
    <row r="9" spans="2:25">
      <c r="B9" s="18" t="s">
        <v>79</v>
      </c>
      <c r="C9" s="290">
        <f>'input data'!C9</f>
        <v>1213</v>
      </c>
      <c r="D9" s="290"/>
      <c r="E9" s="290"/>
      <c r="F9" s="290"/>
      <c r="G9" s="18" t="s">
        <v>78</v>
      </c>
      <c r="H9" s="290">
        <f>'input data'!G9</f>
        <v>46246</v>
      </c>
      <c r="I9" s="290"/>
      <c r="J9" s="290"/>
      <c r="K9" s="15"/>
      <c r="L9" s="15"/>
      <c r="M9" s="15"/>
      <c r="N9" s="15"/>
    </row>
    <row r="10" spans="2:25">
      <c r="B10" s="18" t="s">
        <v>77</v>
      </c>
      <c r="C10" s="290">
        <f>'input data'!C10</f>
        <v>0</v>
      </c>
      <c r="D10" s="290"/>
      <c r="E10" s="290"/>
      <c r="F10" s="290"/>
      <c r="G10" s="18" t="s">
        <v>76</v>
      </c>
      <c r="H10" s="290" t="str">
        <f>'input data'!G10</f>
        <v>el</v>
      </c>
      <c r="I10" s="290"/>
      <c r="J10" s="290"/>
      <c r="K10" s="15"/>
      <c r="L10" s="15"/>
      <c r="M10" s="15"/>
      <c r="N10" s="15"/>
    </row>
    <row r="11" spans="2:25">
      <c r="B11" s="18" t="s">
        <v>75</v>
      </c>
      <c r="C11" s="290">
        <f>'input data'!C11</f>
        <v>1</v>
      </c>
      <c r="D11" s="290"/>
      <c r="E11" s="290"/>
      <c r="F11" s="290"/>
      <c r="G11" s="16"/>
      <c r="H11" s="16"/>
      <c r="I11" s="16"/>
      <c r="J11" s="16"/>
      <c r="K11" s="15"/>
      <c r="L11" s="15"/>
      <c r="M11" s="15"/>
      <c r="N11" s="15"/>
    </row>
    <row r="12" spans="2:25">
      <c r="B12" s="16"/>
      <c r="C12" s="18"/>
      <c r="D12" s="47"/>
      <c r="E12" s="47"/>
      <c r="F12" s="47"/>
      <c r="G12" s="16"/>
      <c r="H12" s="18"/>
      <c r="I12" s="18"/>
      <c r="J12" s="46"/>
      <c r="K12" s="16"/>
      <c r="L12" s="15"/>
      <c r="M12" s="15"/>
      <c r="N12" s="15"/>
    </row>
    <row r="13" spans="2:25">
      <c r="B13" s="19" t="s">
        <v>73</v>
      </c>
      <c r="C13" s="15"/>
      <c r="D13" s="17"/>
      <c r="E13" s="17"/>
      <c r="F13" s="17"/>
      <c r="G13" s="45"/>
      <c r="H13" s="28"/>
      <c r="I13" s="17"/>
      <c r="J13" s="16"/>
      <c r="K13" s="16"/>
      <c r="L13" s="15"/>
      <c r="M13" s="15"/>
      <c r="N13" s="15"/>
    </row>
    <row r="14" spans="2:25">
      <c r="B14" s="27" t="s">
        <v>21</v>
      </c>
      <c r="C14" s="242" t="s">
        <v>72</v>
      </c>
      <c r="D14" s="318"/>
      <c r="E14" s="243"/>
      <c r="F14" s="44" t="s">
        <v>71</v>
      </c>
      <c r="G14" s="27" t="s">
        <v>70</v>
      </c>
      <c r="H14" s="14" t="s">
        <v>69</v>
      </c>
      <c r="I14" s="16"/>
      <c r="J14" s="79">
        <v>1</v>
      </c>
      <c r="K14" s="79">
        <v>2</v>
      </c>
      <c r="L14" s="79">
        <v>3</v>
      </c>
      <c r="M14" s="79">
        <v>4</v>
      </c>
      <c r="N14" s="79">
        <v>5</v>
      </c>
      <c r="O14" s="79">
        <v>6</v>
      </c>
      <c r="P14" s="79">
        <v>7</v>
      </c>
      <c r="Q14" s="79">
        <v>8</v>
      </c>
      <c r="R14" s="79">
        <v>9</v>
      </c>
      <c r="S14" s="79">
        <v>10</v>
      </c>
      <c r="T14" s="79">
        <v>11</v>
      </c>
      <c r="U14" s="79">
        <v>12</v>
      </c>
      <c r="V14" s="79">
        <v>13</v>
      </c>
      <c r="X14" s="79">
        <v>13</v>
      </c>
      <c r="Y14" s="79">
        <v>14</v>
      </c>
    </row>
    <row r="15" spans="2:25">
      <c r="B15" s="43">
        <v>1</v>
      </c>
      <c r="C15" s="227" t="str">
        <f>'input data'!C15</f>
        <v>Digital Pressure Meter</v>
      </c>
      <c r="D15" s="228"/>
      <c r="E15" s="228"/>
      <c r="F15" s="77" t="str">
        <f>'input data'!E15</f>
        <v>Netech</v>
      </c>
      <c r="G15" s="77" t="str">
        <f>'input data'!F15</f>
        <v>Digimano 2500</v>
      </c>
      <c r="H15" s="77">
        <f>'input data'!G15</f>
        <v>40947</v>
      </c>
      <c r="I15" s="16"/>
      <c r="J15" s="273" t="s">
        <v>69</v>
      </c>
      <c r="K15" s="273" t="s">
        <v>21</v>
      </c>
      <c r="L15" s="273" t="s">
        <v>143</v>
      </c>
      <c r="M15" s="273" t="s">
        <v>71</v>
      </c>
      <c r="N15" s="273" t="s">
        <v>129</v>
      </c>
      <c r="O15" s="273" t="s">
        <v>142</v>
      </c>
      <c r="P15" s="273"/>
      <c r="Q15" s="355" t="s">
        <v>141</v>
      </c>
      <c r="R15" s="356"/>
      <c r="S15" s="356" t="s">
        <v>113</v>
      </c>
      <c r="T15" s="357"/>
      <c r="U15" s="272" t="s">
        <v>134</v>
      </c>
      <c r="V15" s="272"/>
      <c r="W15" s="273" t="s">
        <v>198</v>
      </c>
    </row>
    <row r="16" spans="2:25">
      <c r="B16" s="9">
        <v>3</v>
      </c>
      <c r="C16" s="227" t="str">
        <f>'input data'!C16</f>
        <v>Electrical Safety Analyzer</v>
      </c>
      <c r="D16" s="228"/>
      <c r="E16" s="228"/>
      <c r="F16" s="77" t="str">
        <f>'input data'!E16</f>
        <v>Fluke Biomedical</v>
      </c>
      <c r="G16" s="77" t="str">
        <f>'input data'!F16</f>
        <v>ESA612</v>
      </c>
      <c r="H16" s="77">
        <f>'input data'!G16</f>
        <v>6579027</v>
      </c>
      <c r="I16" s="16"/>
      <c r="J16" s="273"/>
      <c r="K16" s="273"/>
      <c r="L16" s="273"/>
      <c r="M16" s="273"/>
      <c r="N16" s="273"/>
      <c r="O16" s="78" t="s">
        <v>122</v>
      </c>
      <c r="P16" s="78" t="s">
        <v>140</v>
      </c>
      <c r="Q16" s="78" t="s">
        <v>122</v>
      </c>
      <c r="R16" s="78" t="s">
        <v>140</v>
      </c>
      <c r="S16" s="78" t="s">
        <v>139</v>
      </c>
      <c r="T16" s="78" t="s">
        <v>138</v>
      </c>
      <c r="U16" s="78" t="s">
        <v>137</v>
      </c>
      <c r="V16" s="78" t="s">
        <v>136</v>
      </c>
      <c r="W16" s="273"/>
    </row>
    <row r="17" spans="2:23">
      <c r="B17" s="9">
        <v>4</v>
      </c>
      <c r="C17" s="227" t="str">
        <f>'input data'!C17</f>
        <v>Thermohygrometer</v>
      </c>
      <c r="D17" s="228"/>
      <c r="E17" s="228"/>
      <c r="F17" s="77" t="str">
        <f>'input data'!E17</f>
        <v>Taffware</v>
      </c>
      <c r="G17" s="77" t="str">
        <f>'input data'!F17</f>
        <v>HTC-1</v>
      </c>
      <c r="H17" s="77" t="str">
        <f>'input data'!G17</f>
        <v>TH-01</v>
      </c>
      <c r="I17" s="16"/>
      <c r="J17" s="7" t="str">
        <f>[1]ARRAY!D6</f>
        <v>TH-01</v>
      </c>
      <c r="K17" s="7">
        <f>[1]ARRAY!E6</f>
        <v>1</v>
      </c>
      <c r="L17" s="7" t="str">
        <f>[1]ARRAY!F6</f>
        <v>Digital thermohygrometer</v>
      </c>
      <c r="M17" s="7" t="str">
        <f>[1]ARRAY!G6</f>
        <v>Taffware</v>
      </c>
      <c r="N17" s="7" t="str">
        <f>[1]ARRAY!H6</f>
        <v>HTC-1</v>
      </c>
      <c r="O17" s="7">
        <f>[1]ARRAY!I6</f>
        <v>-0.3531747919143875</v>
      </c>
      <c r="P17" s="7">
        <f>[1]ARRAY!J6</f>
        <v>1.0389536266349582</v>
      </c>
      <c r="Q17" s="7">
        <f>[1]ARRAY!K6</f>
        <v>-19.598181818181821</v>
      </c>
      <c r="R17" s="7">
        <f>[1]ARRAY!L6</f>
        <v>1.3814545454545455</v>
      </c>
      <c r="S17" s="7">
        <f>[1]ARRAY!M6</f>
        <v>0.5</v>
      </c>
      <c r="T17" s="7">
        <f>[1]ARRAY!N6</f>
        <v>2.7</v>
      </c>
      <c r="U17" s="56">
        <f>O17+P17*$F$22</f>
        <v>26.088195005945298</v>
      </c>
      <c r="V17" s="56">
        <f>Q17+R17*$F$23</f>
        <v>55.69109090909091</v>
      </c>
      <c r="W17" s="110">
        <f>[2]ARRAY!$O$6</f>
        <v>45799</v>
      </c>
    </row>
    <row r="18" spans="2:23">
      <c r="B18" s="15"/>
      <c r="C18" s="15"/>
      <c r="D18" s="15"/>
      <c r="E18" s="15"/>
      <c r="F18" s="15"/>
      <c r="G18" s="15"/>
      <c r="H18" s="15"/>
      <c r="I18" s="15"/>
      <c r="J18" s="7" t="str">
        <f>[1]ARRAY!D7</f>
        <v>TH-02</v>
      </c>
      <c r="K18" s="7">
        <f>[1]ARRAY!E7</f>
        <v>2</v>
      </c>
      <c r="L18" s="7" t="str">
        <f>[1]ARRAY!F7</f>
        <v>Digital thermohygrometer</v>
      </c>
      <c r="M18" s="7" t="str">
        <f>[1]ARRAY!G7</f>
        <v>Taffware</v>
      </c>
      <c r="N18" s="7" t="str">
        <f>[1]ARRAY!H7</f>
        <v>HTC-1</v>
      </c>
      <c r="O18" s="7">
        <f>[1]ARRAY!I7</f>
        <v>-3.6218787158141197E-2</v>
      </c>
      <c r="P18" s="7">
        <f>[1]ARRAY!J7</f>
        <v>1.0230439952437573</v>
      </c>
      <c r="Q18" s="7">
        <f>[1]ARRAY!K7</f>
        <v>-20.981818181818163</v>
      </c>
      <c r="R18" s="7">
        <f>[1]ARRAY!L7</f>
        <v>1.3290909090909087</v>
      </c>
      <c r="S18" s="7">
        <f>[1]ARRAY!M7</f>
        <v>0.5</v>
      </c>
      <c r="T18" s="7">
        <f>[1]ARRAY!N7</f>
        <v>3.1</v>
      </c>
      <c r="U18" s="56">
        <f>O18+P18*$F$22</f>
        <v>26.000250891795481</v>
      </c>
      <c r="V18" s="56">
        <f>Q18+R18*$F$23</f>
        <v>51.453636363636356</v>
      </c>
      <c r="W18" s="110">
        <f>[2]ARRAY!$O$6</f>
        <v>45799</v>
      </c>
    </row>
    <row r="19" spans="2:23">
      <c r="B19" s="16"/>
      <c r="C19" s="19"/>
      <c r="D19" s="17"/>
      <c r="E19" s="17"/>
      <c r="F19" s="17"/>
      <c r="G19" s="15"/>
      <c r="H19" s="28"/>
      <c r="I19" s="17"/>
      <c r="J19" s="7" t="str">
        <f>[1]ARRAY!D8</f>
        <v>TH-03</v>
      </c>
      <c r="K19" s="7">
        <f>[1]ARRAY!E8</f>
        <v>3</v>
      </c>
      <c r="L19" s="7" t="str">
        <f>[1]ARRAY!F8</f>
        <v>Digital thermohygrometer</v>
      </c>
      <c r="M19" s="7" t="str">
        <f>[1]ARRAY!G8</f>
        <v>Taffware</v>
      </c>
      <c r="N19" s="7" t="str">
        <f>[1]ARRAY!H8</f>
        <v>HTC-1</v>
      </c>
      <c r="O19" s="7">
        <f>[1]ARRAY!I8</f>
        <v>-0.40318668252080059</v>
      </c>
      <c r="P19" s="7">
        <f>[1]ARRAY!J8</f>
        <v>1.0430321046373363</v>
      </c>
      <c r="Q19" s="7">
        <f>[1]ARRAY!K8</f>
        <v>-19.666363636363634</v>
      </c>
      <c r="R19" s="7">
        <f>[1]ARRAY!L8</f>
        <v>1.3078181818181818</v>
      </c>
      <c r="S19" s="7">
        <f>[1]ARRAY!M8</f>
        <v>0.5</v>
      </c>
      <c r="T19" s="7">
        <f>[1]ARRAY!N8</f>
        <v>2.7</v>
      </c>
      <c r="U19" s="56">
        <f>O19+P19*$F$22</f>
        <v>26.141980380499408</v>
      </c>
      <c r="V19" s="56">
        <f>Q19+R19*$F$23</f>
        <v>51.609727272727277</v>
      </c>
      <c r="W19" s="110">
        <f>[2]ARRAY!$O$6</f>
        <v>45799</v>
      </c>
    </row>
    <row r="20" spans="2:23">
      <c r="B20" s="37" t="s">
        <v>62</v>
      </c>
      <c r="C20" s="15"/>
      <c r="D20" s="16"/>
      <c r="E20" s="16"/>
      <c r="F20" s="16"/>
      <c r="G20" s="15"/>
      <c r="H20" s="16"/>
      <c r="I20" s="36"/>
      <c r="J20" s="7" t="str">
        <f>[1]ARRAY!D9</f>
        <v>TH-04</v>
      </c>
      <c r="K20" s="7">
        <f>[1]ARRAY!E9</f>
        <v>4</v>
      </c>
      <c r="L20" s="7" t="str">
        <f>[1]ARRAY!F9</f>
        <v>Digital thermohygrometer</v>
      </c>
      <c r="M20" s="7" t="str">
        <f>[1]ARRAY!G9</f>
        <v>Taffware</v>
      </c>
      <c r="N20" s="7" t="str">
        <f>[1]ARRAY!H9</f>
        <v>HTC-1</v>
      </c>
      <c r="O20" s="7">
        <f>[1]ARRAY!I9</f>
        <v>0.19985731272295126</v>
      </c>
      <c r="P20" s="7">
        <f>[1]ARRAY!J9</f>
        <v>0.99894173602853731</v>
      </c>
      <c r="Q20" s="7">
        <f>[1]ARRAY!K9</f>
        <v>-20.049999999999997</v>
      </c>
      <c r="R20" s="7">
        <f>[1]ARRAY!L9</f>
        <v>1.3190909090909091</v>
      </c>
      <c r="S20" s="7">
        <f>[1]ARRAY!M9</f>
        <v>0.6</v>
      </c>
      <c r="T20" s="7">
        <f>[1]ARRAY!N9</f>
        <v>2.9</v>
      </c>
      <c r="U20" s="56">
        <f>O20+P20*$F$22</f>
        <v>25.622924494649226</v>
      </c>
      <c r="V20" s="56">
        <f>Q20+R20*$F$23</f>
        <v>51.840454545454548</v>
      </c>
      <c r="W20" s="110">
        <f>[2]ARRAY!$O$6</f>
        <v>45799</v>
      </c>
    </row>
    <row r="21" spans="2:23">
      <c r="B21" s="35" t="s">
        <v>61</v>
      </c>
      <c r="C21" s="27" t="s">
        <v>60</v>
      </c>
      <c r="D21" s="27" t="s">
        <v>59</v>
      </c>
      <c r="E21" s="14" t="s">
        <v>3</v>
      </c>
      <c r="F21" s="14" t="s">
        <v>135</v>
      </c>
      <c r="G21" s="14" t="s">
        <v>134</v>
      </c>
      <c r="H21" s="14" t="s">
        <v>133</v>
      </c>
      <c r="I21" s="73"/>
      <c r="J21" s="15"/>
      <c r="K21" s="15"/>
      <c r="L21" s="15"/>
    </row>
    <row r="22" spans="2:23">
      <c r="B22" s="33" t="s">
        <v>58</v>
      </c>
      <c r="C22" s="34">
        <f>'input data'!C22</f>
        <v>25.4</v>
      </c>
      <c r="D22" s="34">
        <f>'input data'!D22</f>
        <v>25.5</v>
      </c>
      <c r="E22" s="7" t="s">
        <v>132</v>
      </c>
      <c r="F22" s="76">
        <f>AVERAGE(C22:D22)</f>
        <v>25.45</v>
      </c>
      <c r="G22" s="75">
        <f>VLOOKUP(H17,J17:V20,12,FALSE)</f>
        <v>26.088195005945298</v>
      </c>
      <c r="H22" s="74">
        <f>VLOOKUP(H17,J17:V20,10,FALSE)</f>
        <v>0.5</v>
      </c>
      <c r="I22" s="73"/>
      <c r="J22" s="15"/>
      <c r="K22" s="15"/>
      <c r="L22" s="15"/>
    </row>
    <row r="23" spans="2:23">
      <c r="B23" s="33" t="s">
        <v>56</v>
      </c>
      <c r="C23" s="34">
        <f>'input data'!C23</f>
        <v>54</v>
      </c>
      <c r="D23" s="34">
        <f>'input data'!D23</f>
        <v>55</v>
      </c>
      <c r="E23" s="7" t="s">
        <v>131</v>
      </c>
      <c r="F23" s="76">
        <f>AVERAGE(C23:D23)</f>
        <v>54.5</v>
      </c>
      <c r="G23" s="75">
        <f>VLOOKUP(H17,J17:V20,13,FALSE)</f>
        <v>55.69109090909091</v>
      </c>
      <c r="H23" s="74">
        <f>VLOOKUP(H17,J17:V20,11,FALSE)</f>
        <v>2.7</v>
      </c>
      <c r="I23" s="73"/>
      <c r="J23" s="15"/>
      <c r="K23" s="15"/>
      <c r="L23" s="15"/>
    </row>
    <row r="24" spans="2:23">
      <c r="B24" s="245" t="s">
        <v>54</v>
      </c>
      <c r="C24" s="31" t="s">
        <v>53</v>
      </c>
      <c r="D24" s="30">
        <f>'input data'!D24</f>
        <v>231.5</v>
      </c>
      <c r="E24" s="17" t="s">
        <v>52</v>
      </c>
      <c r="F24" s="15"/>
      <c r="G24" s="13">
        <f>VLOOKUP(H16,N47:AC47,7,FALSE)+VLOOKUP(H16,N47:AC47,8,FALSE)*D24</f>
        <v>231.63429330787622</v>
      </c>
      <c r="H24" s="72"/>
      <c r="I24" s="72"/>
      <c r="J24" s="15"/>
      <c r="K24" s="15"/>
      <c r="L24" s="15"/>
    </row>
    <row r="25" spans="2:23">
      <c r="B25" s="246"/>
      <c r="C25" s="31" t="s">
        <v>51</v>
      </c>
      <c r="D25" s="30">
        <f>'input data'!D25</f>
        <v>88.6</v>
      </c>
      <c r="E25" s="18" t="s">
        <v>49</v>
      </c>
      <c r="F25" s="15"/>
      <c r="G25" s="7">
        <f>D25</f>
        <v>88.6</v>
      </c>
      <c r="H25" s="72"/>
      <c r="I25" s="72"/>
      <c r="J25" s="15"/>
      <c r="K25" s="15"/>
      <c r="L25" s="15"/>
    </row>
    <row r="26" spans="2:23">
      <c r="B26" s="247"/>
      <c r="C26" s="31" t="s">
        <v>50</v>
      </c>
      <c r="D26" s="30">
        <f>'input data'!D26</f>
        <v>136.9</v>
      </c>
      <c r="E26" s="18" t="s">
        <v>49</v>
      </c>
      <c r="F26" s="15"/>
      <c r="G26" s="7">
        <f>D26</f>
        <v>136.9</v>
      </c>
      <c r="H26" s="72"/>
      <c r="I26" s="72"/>
      <c r="J26" s="15"/>
      <c r="K26" s="15"/>
      <c r="L26" s="15"/>
    </row>
    <row r="27" spans="2:23">
      <c r="B27" s="16"/>
      <c r="C27" s="17"/>
      <c r="D27" s="73"/>
      <c r="E27" s="73"/>
      <c r="F27" s="73"/>
      <c r="G27" s="73"/>
      <c r="H27" s="17"/>
      <c r="I27" s="17"/>
      <c r="J27" s="72"/>
      <c r="K27" s="72"/>
      <c r="L27" s="15"/>
      <c r="M27" s="15"/>
      <c r="N27" s="15"/>
    </row>
    <row r="28" spans="2:23">
      <c r="B28" s="16"/>
      <c r="C28" s="17"/>
      <c r="D28" s="28"/>
      <c r="E28" s="28"/>
      <c r="F28" s="28"/>
      <c r="G28" s="17"/>
      <c r="H28" s="17"/>
      <c r="I28" s="17"/>
      <c r="J28" s="16"/>
      <c r="K28" s="16"/>
      <c r="L28" s="15"/>
      <c r="M28" s="15"/>
      <c r="N28" s="15"/>
    </row>
    <row r="29" spans="2:23">
      <c r="B29" s="19" t="s">
        <v>48</v>
      </c>
      <c r="C29" s="15"/>
      <c r="D29" s="28"/>
      <c r="E29" s="28"/>
      <c r="F29" s="28"/>
      <c r="G29" s="17"/>
      <c r="H29" s="17"/>
      <c r="I29" s="17"/>
      <c r="J29" s="16"/>
      <c r="K29" s="16"/>
      <c r="L29" s="15"/>
      <c r="M29" s="15"/>
      <c r="N29" s="15"/>
    </row>
    <row r="30" spans="2:23">
      <c r="B30" s="27" t="s">
        <v>47</v>
      </c>
      <c r="C30" s="35" t="s">
        <v>46</v>
      </c>
      <c r="D30" s="71"/>
      <c r="E30" s="71"/>
      <c r="F30" s="71"/>
      <c r="G30" s="70"/>
      <c r="H30" s="35" t="s">
        <v>45</v>
      </c>
      <c r="I30" s="70"/>
      <c r="J30" s="14" t="s">
        <v>112</v>
      </c>
      <c r="K30" s="69" t="s">
        <v>130</v>
      </c>
      <c r="L30" s="68" t="s">
        <v>110</v>
      </c>
      <c r="M30" s="5"/>
      <c r="N30" s="15"/>
    </row>
    <row r="31" spans="2:23">
      <c r="B31" s="291" t="str">
        <f>'input data'!B31:B34</f>
        <v>Badan Permukaan</v>
      </c>
      <c r="C31" s="322" t="str">
        <f>'input data'!C31:E34</f>
        <v>periksa bagian luar unit, pastikan bersih, terpasang ketat satu dan lainnya dan tidak ada bekas tertimpa cairan ataupun gangguan lainnya.</v>
      </c>
      <c r="D31" s="323"/>
      <c r="E31" s="323"/>
      <c r="F31" s="323"/>
      <c r="G31" s="324"/>
      <c r="H31" s="65">
        <f>'input data'!F31</f>
        <v>1</v>
      </c>
      <c r="I31" s="253" t="s">
        <v>38</v>
      </c>
      <c r="J31" s="244" t="str">
        <f>IF(H31=1,"LULUS","TIDAK LULUS")</f>
        <v>LULUS</v>
      </c>
      <c r="K31" s="287">
        <f>(COUNTIF(J31:J50,"LULUS")/(COUNTA(J31:J50))*100%)</f>
        <v>1</v>
      </c>
      <c r="L31" s="319">
        <f>IF(K31&lt;=70%,0,10)</f>
        <v>10</v>
      </c>
      <c r="M31" s="5"/>
      <c r="N31" s="15"/>
    </row>
    <row r="32" spans="2:23">
      <c r="B32" s="292"/>
      <c r="C32" s="325"/>
      <c r="D32" s="326"/>
      <c r="E32" s="326"/>
      <c r="F32" s="326"/>
      <c r="G32" s="327"/>
      <c r="H32" s="67"/>
      <c r="I32" s="254"/>
      <c r="J32" s="244"/>
      <c r="K32" s="288"/>
      <c r="L32" s="320"/>
      <c r="M32" s="5"/>
      <c r="N32" s="15"/>
    </row>
    <row r="33" spans="2:31">
      <c r="B33" s="292"/>
      <c r="C33" s="325"/>
      <c r="D33" s="326"/>
      <c r="E33" s="326"/>
      <c r="F33" s="326"/>
      <c r="G33" s="327"/>
      <c r="H33" s="67"/>
      <c r="I33" s="253" t="s">
        <v>37</v>
      </c>
      <c r="J33" s="244"/>
      <c r="K33" s="288"/>
      <c r="L33" s="320"/>
      <c r="M33" s="5"/>
      <c r="N33" s="15"/>
    </row>
    <row r="34" spans="2:31">
      <c r="B34" s="293"/>
      <c r="C34" s="328"/>
      <c r="D34" s="329"/>
      <c r="E34" s="329"/>
      <c r="F34" s="329"/>
      <c r="G34" s="330"/>
      <c r="H34" s="64"/>
      <c r="I34" s="254"/>
      <c r="J34" s="244"/>
      <c r="K34" s="288"/>
      <c r="L34" s="320"/>
      <c r="M34" s="5"/>
      <c r="N34" s="15"/>
    </row>
    <row r="35" spans="2:31" ht="15" customHeight="1">
      <c r="B35" s="291" t="str">
        <f>'input data'!B35:B38</f>
        <v>Kotak kontak alat</v>
      </c>
      <c r="C35" s="303" t="str">
        <f>'input data'!C35:E38</f>
        <v>Periksa apakah ada gangguan pada tusuk kontak (AC-Power). Gerak-gerakkan kotak kontak untuk memastikan keamanannya. Goyang-goyangkan kotak kontak untuk memastikan tidak ada baut atau mur yang longgar</v>
      </c>
      <c r="D35" s="304"/>
      <c r="E35" s="304"/>
      <c r="F35" s="304"/>
      <c r="G35" s="305"/>
      <c r="H35" s="65">
        <f>'input data'!F35:F38</f>
        <v>1</v>
      </c>
      <c r="I35" s="253" t="s">
        <v>38</v>
      </c>
      <c r="J35" s="244" t="str">
        <f>IF(H35=1,"LULUS","TIDAK LULUS")</f>
        <v>LULUS</v>
      </c>
      <c r="K35" s="288"/>
      <c r="L35" s="320"/>
      <c r="M35" s="5"/>
      <c r="N35" s="15"/>
    </row>
    <row r="36" spans="2:31">
      <c r="B36" s="292"/>
      <c r="C36" s="306"/>
      <c r="D36" s="307"/>
      <c r="E36" s="307"/>
      <c r="F36" s="307"/>
      <c r="G36" s="308"/>
      <c r="H36" s="67"/>
      <c r="I36" s="254"/>
      <c r="J36" s="244"/>
      <c r="K36" s="288"/>
      <c r="L36" s="320"/>
      <c r="M36" s="5"/>
      <c r="N36" s="15"/>
    </row>
    <row r="37" spans="2:31">
      <c r="B37" s="292"/>
      <c r="C37" s="306"/>
      <c r="D37" s="307"/>
      <c r="E37" s="307"/>
      <c r="F37" s="307"/>
      <c r="G37" s="308"/>
      <c r="H37" s="67"/>
      <c r="I37" s="253" t="s">
        <v>37</v>
      </c>
      <c r="J37" s="244"/>
      <c r="K37" s="288"/>
      <c r="L37" s="320"/>
      <c r="M37" s="5"/>
      <c r="N37" s="15"/>
    </row>
    <row r="38" spans="2:31">
      <c r="B38" s="293"/>
      <c r="C38" s="309"/>
      <c r="D38" s="310"/>
      <c r="E38" s="310"/>
      <c r="F38" s="310"/>
      <c r="G38" s="311"/>
      <c r="H38" s="64"/>
      <c r="I38" s="254"/>
      <c r="J38" s="244"/>
      <c r="K38" s="288"/>
      <c r="L38" s="320"/>
      <c r="M38" s="5"/>
      <c r="N38" s="15"/>
    </row>
    <row r="39" spans="2:31">
      <c r="B39" s="291" t="str">
        <f>'input data'!B39:B40</f>
        <v>Kabel Catu Utama</v>
      </c>
      <c r="C39" s="312" t="str">
        <f>'input data'!C39:E40</f>
        <v>Periksa kabel, apakah terlihat ada kerusakan atau bagian isolasi yang terkelupas.</v>
      </c>
      <c r="D39" s="313"/>
      <c r="E39" s="313"/>
      <c r="F39" s="313"/>
      <c r="G39" s="314"/>
      <c r="H39" s="65">
        <f>'input data'!F39:F40</f>
        <v>1</v>
      </c>
      <c r="I39" s="22" t="s">
        <v>38</v>
      </c>
      <c r="J39" s="244" t="str">
        <f>IF(H39=1,"LULUS","TIDAK LULUS")</f>
        <v>LULUS</v>
      </c>
      <c r="K39" s="288"/>
      <c r="L39" s="320"/>
      <c r="M39" s="5"/>
      <c r="N39" s="15"/>
    </row>
    <row r="40" spans="2:31">
      <c r="B40" s="293"/>
      <c r="C40" s="315"/>
      <c r="D40" s="316"/>
      <c r="E40" s="316"/>
      <c r="F40" s="316"/>
      <c r="G40" s="317"/>
      <c r="H40" s="64"/>
      <c r="I40" s="22" t="s">
        <v>37</v>
      </c>
      <c r="J40" s="244"/>
      <c r="K40" s="288"/>
      <c r="L40" s="320"/>
      <c r="M40" s="5"/>
      <c r="N40" s="15"/>
    </row>
    <row r="41" spans="2:31" ht="15" customHeight="1">
      <c r="B41" s="291" t="str">
        <f>'input data'!B41:B42</f>
        <v>Tombol saklar dan kontrol</v>
      </c>
      <c r="C41" s="294" t="str">
        <f>'input data'!C41:E44</f>
        <v>sebelum mempergunakan/mengubah-ubah tombol kontrol, periksa posisinya, jika terlihat tidak berada pada posisinya (periksa dengan menggunakan mode pemeriksaan standar). Bandingkan dengan posisi control. Ingat peraturan tersebut dan jangan lupa untuk mengembalikan pada setting awal jika sudah selesai menggunakan</v>
      </c>
      <c r="D41" s="295"/>
      <c r="E41" s="295"/>
      <c r="F41" s="295"/>
      <c r="G41" s="296"/>
      <c r="H41" s="65">
        <f>'input data'!F41:F44</f>
        <v>1</v>
      </c>
      <c r="I41" s="253" t="s">
        <v>38</v>
      </c>
      <c r="J41" s="244" t="str">
        <f>IF(H41=1,"LULUS","TIDAK LULUS")</f>
        <v>LULUS</v>
      </c>
      <c r="K41" s="288"/>
      <c r="L41" s="320"/>
      <c r="M41" s="5"/>
      <c r="N41" s="15"/>
    </row>
    <row r="42" spans="2:31">
      <c r="B42" s="292"/>
      <c r="C42" s="297"/>
      <c r="D42" s="298"/>
      <c r="E42" s="298"/>
      <c r="F42" s="298"/>
      <c r="G42" s="299"/>
      <c r="H42" s="67"/>
      <c r="I42" s="254"/>
      <c r="J42" s="244"/>
      <c r="K42" s="288"/>
      <c r="L42" s="320"/>
      <c r="M42" s="5"/>
      <c r="N42" s="15"/>
    </row>
    <row r="43" spans="2:31">
      <c r="B43" s="292"/>
      <c r="C43" s="297"/>
      <c r="D43" s="298"/>
      <c r="E43" s="298"/>
      <c r="F43" s="298"/>
      <c r="G43" s="299"/>
      <c r="H43" s="67"/>
      <c r="I43" s="253" t="s">
        <v>37</v>
      </c>
      <c r="J43" s="244"/>
      <c r="K43" s="288"/>
      <c r="L43" s="320"/>
      <c r="M43" s="5"/>
      <c r="N43" s="15"/>
    </row>
    <row r="44" spans="2:31">
      <c r="B44" s="293"/>
      <c r="C44" s="300"/>
      <c r="D44" s="301"/>
      <c r="E44" s="301"/>
      <c r="F44" s="301"/>
      <c r="G44" s="302"/>
      <c r="H44" s="67"/>
      <c r="I44" s="254"/>
      <c r="J44" s="244"/>
      <c r="K44" s="288"/>
      <c r="L44" s="320"/>
      <c r="M44" s="5"/>
      <c r="N44">
        <v>1</v>
      </c>
      <c r="O44">
        <v>2</v>
      </c>
      <c r="P44">
        <v>3</v>
      </c>
      <c r="Q44">
        <v>4</v>
      </c>
      <c r="R44">
        <v>5</v>
      </c>
      <c r="S44">
        <v>6</v>
      </c>
      <c r="T44">
        <v>7</v>
      </c>
      <c r="V44">
        <v>8</v>
      </c>
      <c r="W44">
        <v>9</v>
      </c>
      <c r="X44">
        <v>10</v>
      </c>
      <c r="Y44">
        <v>11</v>
      </c>
      <c r="AA44">
        <v>12</v>
      </c>
      <c r="AB44">
        <v>13</v>
      </c>
      <c r="AC44">
        <v>14</v>
      </c>
      <c r="AD44">
        <v>15</v>
      </c>
      <c r="AE44">
        <v>16</v>
      </c>
    </row>
    <row r="45" spans="2:31">
      <c r="B45" s="291" t="str">
        <f>'input data'!B45:B46</f>
        <v>Tampilan dan indicator</v>
      </c>
      <c r="C45" s="294" t="str">
        <f>'input data'!C45:E46</f>
        <v>Selama pengecekan fungsi, pastikan lampu indicator dan tampilan layar berfungsi baik.</v>
      </c>
      <c r="D45" s="295"/>
      <c r="E45" s="295"/>
      <c r="F45" s="295"/>
      <c r="G45" s="296"/>
      <c r="H45" s="65">
        <f>'input data'!F45:F46</f>
        <v>1</v>
      </c>
      <c r="I45" s="22" t="s">
        <v>38</v>
      </c>
      <c r="J45" s="244" t="str">
        <f>IF(H45=1,"LULUS","TIDAK LULUS")</f>
        <v>LULUS</v>
      </c>
      <c r="K45" s="288"/>
      <c r="L45" s="320"/>
      <c r="M45" s="5"/>
      <c r="N45" s="274" t="s">
        <v>69</v>
      </c>
      <c r="O45" s="274" t="s">
        <v>21</v>
      </c>
      <c r="P45" s="274" t="s">
        <v>71</v>
      </c>
      <c r="Q45" s="274" t="s">
        <v>129</v>
      </c>
      <c r="R45" s="274" t="s">
        <v>128</v>
      </c>
      <c r="S45" s="274" t="s">
        <v>127</v>
      </c>
      <c r="T45" s="270" t="s">
        <v>54</v>
      </c>
      <c r="U45" s="276"/>
      <c r="V45" s="271"/>
      <c r="W45" s="270" t="s">
        <v>126</v>
      </c>
      <c r="X45" s="271"/>
      <c r="Y45" s="270" t="s">
        <v>125</v>
      </c>
      <c r="Z45" s="276"/>
      <c r="AA45" s="271"/>
      <c r="AB45" s="270" t="s">
        <v>124</v>
      </c>
      <c r="AC45" s="271"/>
      <c r="AD45" s="270" t="s">
        <v>123</v>
      </c>
      <c r="AE45" s="271"/>
    </row>
    <row r="46" spans="2:31">
      <c r="B46" s="293"/>
      <c r="C46" s="300"/>
      <c r="D46" s="301"/>
      <c r="E46" s="301"/>
      <c r="F46" s="301"/>
      <c r="G46" s="302"/>
      <c r="H46" s="64"/>
      <c r="I46" s="22" t="s">
        <v>37</v>
      </c>
      <c r="J46" s="244"/>
      <c r="K46" s="288"/>
      <c r="L46" s="320"/>
      <c r="M46" s="5"/>
      <c r="N46" s="275"/>
      <c r="O46" s="275"/>
      <c r="P46" s="275"/>
      <c r="Q46" s="275"/>
      <c r="R46" s="275"/>
      <c r="S46" s="275"/>
      <c r="T46" s="66" t="s">
        <v>122</v>
      </c>
      <c r="U46" s="66" t="s">
        <v>121</v>
      </c>
      <c r="V46" s="66" t="s">
        <v>122</v>
      </c>
      <c r="W46" s="66" t="s">
        <v>121</v>
      </c>
      <c r="X46" s="66" t="s">
        <v>122</v>
      </c>
      <c r="Y46" s="66" t="s">
        <v>121</v>
      </c>
      <c r="Z46" s="66" t="s">
        <v>122</v>
      </c>
      <c r="AA46" s="66" t="s">
        <v>121</v>
      </c>
      <c r="AB46" s="66" t="s">
        <v>122</v>
      </c>
      <c r="AC46" s="66" t="s">
        <v>121</v>
      </c>
      <c r="AD46" s="66" t="s">
        <v>122</v>
      </c>
      <c r="AE46" s="66" t="s">
        <v>121</v>
      </c>
    </row>
    <row r="47" spans="2:31" ht="22.5" customHeight="1">
      <c r="B47" s="278" t="str">
        <f>'input data'!B47:B48</f>
        <v>Sistem pengunci pergerakan</v>
      </c>
      <c r="C47" s="279" t="str">
        <f>'input data'!C47:E48</f>
        <v>Lakukan pemeriksaan system pengunci pergerakan</v>
      </c>
      <c r="D47" s="279"/>
      <c r="E47" s="279"/>
      <c r="F47" s="279"/>
      <c r="G47" s="279"/>
      <c r="H47" s="65">
        <f>'input data'!F47:F48</f>
        <v>1</v>
      </c>
      <c r="I47" s="22" t="s">
        <v>38</v>
      </c>
      <c r="J47" s="244" t="str">
        <f>IF(H47=1,"LULUS","TIDAK LULUS")</f>
        <v>LULUS</v>
      </c>
      <c r="K47" s="288"/>
      <c r="L47" s="320"/>
      <c r="M47" s="5"/>
      <c r="N47" s="202">
        <f>[3]ARRAY!C7</f>
        <v>6579027</v>
      </c>
      <c r="O47" s="202">
        <f>[3]ARRAY!D7</f>
        <v>1</v>
      </c>
      <c r="P47" s="202" t="str">
        <f>[3]ARRAY!E7</f>
        <v>Fluke Biomedical</v>
      </c>
      <c r="Q47" s="202" t="str">
        <f>[3]ARRAY!F7</f>
        <v>ESA16</v>
      </c>
      <c r="R47" s="202">
        <f>[3]ARRAY!G7</f>
        <v>45819</v>
      </c>
      <c r="S47" s="202" t="str">
        <f>[3]ARRAY!H7</f>
        <v>LK-110-IDN</v>
      </c>
      <c r="T47" s="202">
        <f>[3]ARRAY!I7</f>
        <v>0.18884843505782101</v>
      </c>
      <c r="U47" s="202">
        <f>[3]ARRAY!J7</f>
        <v>0.99976434070331921</v>
      </c>
      <c r="V47" s="202">
        <f>[3]ARRAY!K7</f>
        <v>8.3113755394208511E-3</v>
      </c>
      <c r="W47" s="202">
        <f>[3]ARRAY!L7</f>
        <v>0.99798390215914468</v>
      </c>
      <c r="X47" s="202">
        <f>[3]ARRAY!M7</f>
        <v>1.109276060012121E-2</v>
      </c>
      <c r="Y47" s="202">
        <f>[3]ARRAY!N7</f>
        <v>1.0019062227988453</v>
      </c>
      <c r="Z47" s="202">
        <f>[3]ARRAY!O7</f>
        <v>-8.4833373595444295E-3</v>
      </c>
      <c r="AA47" s="202">
        <f>[3]ARRAY!P7</f>
        <v>1.0005091922739648</v>
      </c>
      <c r="AB47" s="203">
        <f>[3]ARRAY!Q7</f>
        <v>0</v>
      </c>
      <c r="AC47" s="204">
        <f>[3]ARRAY!R7</f>
        <v>1</v>
      </c>
      <c r="AD47" s="204">
        <f>[3]ARRAY!S7</f>
        <v>0</v>
      </c>
      <c r="AE47" s="204">
        <f>[3]ARRAY!T7</f>
        <v>0</v>
      </c>
    </row>
    <row r="48" spans="2:31">
      <c r="B48" s="278"/>
      <c r="C48" s="279"/>
      <c r="D48" s="279"/>
      <c r="E48" s="279"/>
      <c r="F48" s="279"/>
      <c r="G48" s="279"/>
      <c r="H48" s="64"/>
      <c r="I48" s="22" t="s">
        <v>37</v>
      </c>
      <c r="J48" s="244"/>
      <c r="K48" s="288"/>
      <c r="L48" s="320"/>
      <c r="M48" s="5"/>
      <c r="N48" s="15"/>
    </row>
    <row r="49" spans="2:16" ht="20.25" customHeight="1">
      <c r="B49" s="278" t="str">
        <f>'input data'!B49:B52</f>
        <v>Filter</v>
      </c>
      <c r="C49" s="279" t="str">
        <f>'input data'!C49:E52</f>
        <v>Periksa kondisi filter pastikan tidak kotor</v>
      </c>
      <c r="D49" s="279"/>
      <c r="E49" s="279"/>
      <c r="F49" s="279"/>
      <c r="G49" s="279"/>
      <c r="H49" s="82">
        <f>'input data'!F49:F52</f>
        <v>1</v>
      </c>
      <c r="I49" s="22" t="s">
        <v>38</v>
      </c>
      <c r="J49" s="244" t="str">
        <f>IF(H49=1,"LULUS","TIDAK LULUS")</f>
        <v>LULUS</v>
      </c>
      <c r="K49" s="288"/>
      <c r="L49" s="320"/>
      <c r="M49" s="5"/>
      <c r="N49" s="15"/>
    </row>
    <row r="50" spans="2:16">
      <c r="B50" s="278"/>
      <c r="C50" s="279"/>
      <c r="D50" s="279"/>
      <c r="E50" s="279"/>
      <c r="F50" s="279"/>
      <c r="G50" s="279"/>
      <c r="H50" s="82"/>
      <c r="I50" s="22" t="s">
        <v>37</v>
      </c>
      <c r="J50" s="244"/>
      <c r="K50" s="289"/>
      <c r="L50" s="321"/>
      <c r="M50" s="5"/>
      <c r="N50" s="15"/>
    </row>
    <row r="51" spans="2:16">
      <c r="B51" s="85"/>
      <c r="C51" s="86"/>
      <c r="D51" s="86"/>
      <c r="E51" s="86"/>
      <c r="F51" s="86"/>
      <c r="G51" s="86"/>
      <c r="H51" s="81"/>
      <c r="I51" s="87"/>
      <c r="J51" s="80"/>
      <c r="K51" s="83"/>
      <c r="L51" s="84"/>
      <c r="M51" s="5"/>
      <c r="N51" s="15"/>
    </row>
    <row r="52" spans="2:16">
      <c r="B52" s="88"/>
      <c r="C52" s="89"/>
      <c r="D52" s="89"/>
      <c r="E52" s="89"/>
      <c r="F52" s="89"/>
      <c r="G52" s="89"/>
      <c r="H52" s="89"/>
      <c r="I52" s="89"/>
      <c r="J52" s="63"/>
      <c r="K52" s="16"/>
      <c r="L52" s="15"/>
      <c r="M52" s="15"/>
      <c r="N52" s="15"/>
    </row>
    <row r="53" spans="2:16">
      <c r="B53" s="19" t="s">
        <v>36</v>
      </c>
      <c r="C53" s="15"/>
      <c r="D53" s="18"/>
      <c r="E53" s="18"/>
      <c r="F53" s="18"/>
      <c r="G53" s="17"/>
      <c r="H53" s="17"/>
      <c r="I53" s="17"/>
      <c r="J53" s="16"/>
      <c r="K53" s="16"/>
      <c r="L53" s="15"/>
      <c r="M53" s="15"/>
      <c r="N53" s="15"/>
    </row>
    <row r="54" spans="2:16" ht="27" customHeight="1">
      <c r="B54" s="227" t="s">
        <v>35</v>
      </c>
      <c r="C54" s="228"/>
      <c r="D54" s="229"/>
      <c r="E54" s="9" t="s">
        <v>34</v>
      </c>
      <c r="F54" s="9" t="s">
        <v>33</v>
      </c>
      <c r="G54" s="9" t="s">
        <v>32</v>
      </c>
      <c r="H54" s="61"/>
      <c r="I54" s="62"/>
      <c r="J54" s="61"/>
      <c r="K54" s="16"/>
      <c r="L54" s="15"/>
      <c r="M54" s="15"/>
      <c r="N54" s="15"/>
    </row>
    <row r="55" spans="2:16" ht="27.75" customHeight="1">
      <c r="B55" s="227" t="s">
        <v>31</v>
      </c>
      <c r="C55" s="228"/>
      <c r="D55" s="229"/>
      <c r="E55" s="9" t="s">
        <v>2</v>
      </c>
      <c r="F55" s="9" t="s">
        <v>1</v>
      </c>
      <c r="G55" s="9" t="s">
        <v>30</v>
      </c>
      <c r="H55" s="61"/>
      <c r="I55" s="62"/>
      <c r="J55" s="61"/>
      <c r="K55" s="17"/>
      <c r="L55" s="20"/>
      <c r="M55" s="20"/>
      <c r="N55" s="20"/>
    </row>
    <row r="56" spans="2:16" ht="24.75" customHeight="1">
      <c r="B56" s="227" t="s">
        <v>29</v>
      </c>
      <c r="C56" s="228"/>
      <c r="D56" s="229"/>
      <c r="E56" s="9" t="s">
        <v>28</v>
      </c>
      <c r="F56" s="9" t="s">
        <v>27</v>
      </c>
      <c r="G56" s="9" t="s">
        <v>26</v>
      </c>
      <c r="H56" s="61"/>
      <c r="I56" s="62"/>
      <c r="J56" s="61"/>
      <c r="K56" s="16"/>
      <c r="L56" s="15"/>
      <c r="M56" s="15"/>
      <c r="N56" s="15"/>
    </row>
    <row r="57" spans="2:16">
      <c r="B57" s="230" t="s">
        <v>25</v>
      </c>
      <c r="C57" s="231"/>
      <c r="D57" s="232"/>
      <c r="E57" s="224" t="s">
        <v>24</v>
      </c>
      <c r="F57" s="225"/>
      <c r="G57" s="226"/>
      <c r="H57" s="61"/>
      <c r="I57" s="61"/>
      <c r="J57" s="61"/>
      <c r="K57" s="16"/>
      <c r="L57" s="15"/>
      <c r="M57" s="15"/>
      <c r="N57" s="15"/>
    </row>
    <row r="58" spans="2:16">
      <c r="B58" s="233"/>
      <c r="C58" s="234"/>
      <c r="D58" s="235"/>
      <c r="E58" s="224" t="s">
        <v>23</v>
      </c>
      <c r="F58" s="225"/>
      <c r="G58" s="226"/>
      <c r="H58" s="61"/>
      <c r="I58" s="61"/>
      <c r="J58" s="61"/>
      <c r="K58" s="16"/>
      <c r="L58" s="15"/>
      <c r="M58" s="15"/>
      <c r="N58" s="15"/>
    </row>
    <row r="59" spans="2:16">
      <c r="B59" s="236"/>
      <c r="C59" s="237"/>
      <c r="D59" s="238"/>
      <c r="E59" s="224" t="s">
        <v>22</v>
      </c>
      <c r="F59" s="225"/>
      <c r="G59" s="226"/>
      <c r="H59" s="61"/>
      <c r="I59" s="61"/>
      <c r="J59" s="61"/>
      <c r="K59" s="16"/>
      <c r="L59" s="15"/>
      <c r="M59" s="15"/>
      <c r="N59" s="15"/>
    </row>
    <row r="60" spans="2:16">
      <c r="B60" s="19"/>
      <c r="C60" s="15"/>
      <c r="D60" s="18"/>
      <c r="E60" s="18"/>
      <c r="F60" s="18"/>
      <c r="G60" s="17"/>
      <c r="H60" s="17"/>
      <c r="I60" s="17"/>
      <c r="J60" s="16"/>
      <c r="K60" s="16"/>
      <c r="L60" s="15"/>
      <c r="M60" s="15"/>
      <c r="N60" s="15"/>
    </row>
    <row r="61" spans="2:16">
      <c r="B61" s="210" t="s">
        <v>21</v>
      </c>
      <c r="C61" s="212" t="s">
        <v>20</v>
      </c>
      <c r="D61" s="213"/>
      <c r="E61" s="213"/>
      <c r="F61" s="213"/>
      <c r="G61" s="214"/>
      <c r="H61" s="210" t="s">
        <v>19</v>
      </c>
      <c r="I61" s="285" t="s">
        <v>120</v>
      </c>
      <c r="J61" s="242" t="s">
        <v>18</v>
      </c>
      <c r="K61" s="243"/>
      <c r="L61" s="210" t="s">
        <v>17</v>
      </c>
      <c r="M61" s="210"/>
      <c r="N61" s="210"/>
      <c r="O61" s="284" t="s">
        <v>119</v>
      </c>
      <c r="P61" s="280" t="s">
        <v>118</v>
      </c>
    </row>
    <row r="62" spans="2:16">
      <c r="B62" s="210"/>
      <c r="C62" s="215"/>
      <c r="D62" s="216"/>
      <c r="E62" s="216"/>
      <c r="F62" s="216"/>
      <c r="G62" s="217"/>
      <c r="H62" s="210"/>
      <c r="I62" s="286"/>
      <c r="J62" s="14" t="s">
        <v>16</v>
      </c>
      <c r="K62" s="14" t="s">
        <v>15</v>
      </c>
      <c r="L62" s="210"/>
      <c r="M62" s="210"/>
      <c r="N62" s="210"/>
      <c r="O62" s="284"/>
      <c r="P62" s="280"/>
    </row>
    <row r="63" spans="2:16">
      <c r="B63" s="9">
        <v>1</v>
      </c>
      <c r="C63" s="208" t="s">
        <v>14</v>
      </c>
      <c r="D63" s="208"/>
      <c r="E63" s="208"/>
      <c r="F63" s="208"/>
      <c r="G63" s="208"/>
      <c r="H63" s="13">
        <f>'[4]Input Data'!F60</f>
        <v>0.224</v>
      </c>
      <c r="I63" s="13">
        <f>VLOOKUP(H16,N47:AC47,13,FALSE)+VLOOKUP(H16,N47:AC47,14,FALSE)*H63</f>
        <v>0.2156307217098237</v>
      </c>
      <c r="J63" s="7" t="s">
        <v>7</v>
      </c>
      <c r="K63" s="7"/>
      <c r="L63" s="11" t="s">
        <v>6</v>
      </c>
      <c r="M63" s="12">
        <v>0.3</v>
      </c>
      <c r="N63" s="11" t="s">
        <v>13</v>
      </c>
      <c r="O63" s="60" t="str">
        <f>IF(I63&lt;M63,"AMAN","TIDAK AMAN")</f>
        <v>AMAN</v>
      </c>
      <c r="P63" s="281">
        <f>IF(COUNTIF((O63:O65),"Aman")&lt;3,0,40)</f>
        <v>40</v>
      </c>
    </row>
    <row r="64" spans="2:16">
      <c r="B64" s="9">
        <v>2</v>
      </c>
      <c r="C64" s="209" t="s">
        <v>12</v>
      </c>
      <c r="D64" s="209"/>
      <c r="E64" s="209"/>
      <c r="F64" s="209"/>
      <c r="G64" s="209"/>
      <c r="H64" s="13" t="str">
        <f>'[4]Input Data'!F61</f>
        <v>OR</v>
      </c>
      <c r="I64" s="13" t="str">
        <f>H64</f>
        <v>OR</v>
      </c>
      <c r="J64" s="7" t="s">
        <v>7</v>
      </c>
      <c r="K64" s="7"/>
      <c r="L64" s="6" t="s">
        <v>10</v>
      </c>
      <c r="M64" s="6">
        <v>2</v>
      </c>
      <c r="N64" s="6" t="s">
        <v>9</v>
      </c>
      <c r="O64" s="60" t="str">
        <f>IF(I64&gt;M64,"AMAN","TIDAK AMAN")</f>
        <v>AMAN</v>
      </c>
      <c r="P64" s="282"/>
    </row>
    <row r="65" spans="2:16">
      <c r="B65" s="9">
        <v>3</v>
      </c>
      <c r="C65" s="209" t="s">
        <v>8</v>
      </c>
      <c r="D65" s="209"/>
      <c r="E65" s="209"/>
      <c r="F65" s="209"/>
      <c r="G65" s="209"/>
      <c r="H65" s="13">
        <f>'[4]Input Data'!F62</f>
        <v>0.1</v>
      </c>
      <c r="I65" s="13">
        <f>VLOOKUP(H16,N47:AC47,11,FALSE)+VLOOKUP(H16,N47:AC47,12,FALSE)*H65</f>
        <v>0.11128338288000575</v>
      </c>
      <c r="J65" s="7" t="s">
        <v>7</v>
      </c>
      <c r="K65" s="7"/>
      <c r="L65" s="6" t="s">
        <v>6</v>
      </c>
      <c r="M65" s="6">
        <v>500</v>
      </c>
      <c r="N65" s="6" t="s">
        <v>5</v>
      </c>
      <c r="O65" s="60" t="str">
        <f>IF(I65&lt;M65,"AMAN","TIDAK AMAN")</f>
        <v>AMAN</v>
      </c>
      <c r="P65" s="283"/>
    </row>
    <row r="66" spans="2:16">
      <c r="B66" s="59" t="s">
        <v>117</v>
      </c>
    </row>
    <row r="68" spans="2:16" ht="15.75">
      <c r="B68" s="58" t="s">
        <v>4</v>
      </c>
    </row>
    <row r="69" spans="2:16" ht="15.75">
      <c r="B69" s="277"/>
      <c r="C69" s="277"/>
      <c r="D69" s="277"/>
    </row>
    <row r="70" spans="2:16">
      <c r="B70" s="57" t="str">
        <f>'input data'!B69</f>
        <v>1. Kalibrasi daya hisap</v>
      </c>
    </row>
    <row r="71" spans="2:16">
      <c r="B71" s="57" t="s">
        <v>109</v>
      </c>
      <c r="C71" t="str">
        <f>'input data'!C70</f>
        <v>kPa</v>
      </c>
    </row>
    <row r="72" spans="2:16">
      <c r="B72" s="268" t="s">
        <v>21</v>
      </c>
      <c r="C72" s="268" t="s">
        <v>100</v>
      </c>
      <c r="D72" s="268" t="s">
        <v>101</v>
      </c>
      <c r="E72" s="268"/>
      <c r="F72" s="268"/>
      <c r="G72" s="268"/>
      <c r="H72" s="268"/>
      <c r="I72" s="268"/>
      <c r="J72" s="268" t="s">
        <v>3</v>
      </c>
    </row>
    <row r="73" spans="2:16">
      <c r="B73" s="268"/>
      <c r="C73" s="268"/>
      <c r="D73" s="269" t="s">
        <v>102</v>
      </c>
      <c r="E73" s="269"/>
      <c r="F73" s="268" t="s">
        <v>103</v>
      </c>
      <c r="G73" s="268"/>
      <c r="H73" s="268" t="s">
        <v>104</v>
      </c>
      <c r="I73" s="268"/>
      <c r="J73" s="268"/>
    </row>
    <row r="74" spans="2:16">
      <c r="B74" s="268"/>
      <c r="C74" s="2" t="s">
        <v>105</v>
      </c>
      <c r="D74" s="52" t="s">
        <v>106</v>
      </c>
      <c r="E74" s="52" t="s">
        <v>107</v>
      </c>
      <c r="F74" s="2" t="s">
        <v>106</v>
      </c>
      <c r="G74" s="2" t="s">
        <v>107</v>
      </c>
      <c r="H74" s="2" t="s">
        <v>106</v>
      </c>
      <c r="I74" s="2" t="s">
        <v>107</v>
      </c>
      <c r="J74" s="268"/>
    </row>
    <row r="75" spans="2:16">
      <c r="B75" s="2">
        <v>1</v>
      </c>
      <c r="C75" s="3">
        <f>'input data'!C74</f>
        <v>5</v>
      </c>
      <c r="D75" s="3">
        <f>'input data'!D74</f>
        <v>5.1100000000000003</v>
      </c>
      <c r="E75" s="3">
        <f>'input data'!E74</f>
        <v>5.1100000000000003</v>
      </c>
      <c r="F75" s="3">
        <f>'input data'!F74</f>
        <v>5.1100000000000003</v>
      </c>
      <c r="G75" s="3">
        <f>'input data'!G74</f>
        <v>5.1100000000000003</v>
      </c>
      <c r="H75" s="3">
        <f>'input data'!H74</f>
        <v>5.1100000000000003</v>
      </c>
      <c r="I75" s="3">
        <f>'input data'!I74</f>
        <v>5.14</v>
      </c>
      <c r="J75" s="268" t="s">
        <v>108</v>
      </c>
    </row>
    <row r="76" spans="2:16">
      <c r="B76" s="2">
        <v>2</v>
      </c>
      <c r="C76" s="3">
        <f>'input data'!C75</f>
        <v>10</v>
      </c>
      <c r="D76" s="3">
        <f>'input data'!D75</f>
        <v>10.24</v>
      </c>
      <c r="E76" s="3">
        <f>'input data'!E75</f>
        <v>10.24</v>
      </c>
      <c r="F76" s="3">
        <f>'input data'!F75</f>
        <v>10.24</v>
      </c>
      <c r="G76" s="3">
        <f>'input data'!G75</f>
        <v>10.24</v>
      </c>
      <c r="H76" s="3">
        <f>'input data'!H75</f>
        <v>10.24</v>
      </c>
      <c r="I76" s="3">
        <f>'input data'!I75</f>
        <v>10.210000000000001</v>
      </c>
      <c r="J76" s="268"/>
    </row>
    <row r="77" spans="2:16">
      <c r="B77" s="2">
        <v>3</v>
      </c>
      <c r="C77" s="3">
        <f>'input data'!C76</f>
        <v>15</v>
      </c>
      <c r="D77" s="3">
        <f>'input data'!D76</f>
        <v>15.24</v>
      </c>
      <c r="E77" s="3">
        <f>'input data'!E76</f>
        <v>15.24</v>
      </c>
      <c r="F77" s="3">
        <f>'input data'!F76</f>
        <v>15.24</v>
      </c>
      <c r="G77" s="3">
        <f>'input data'!G76</f>
        <v>15.24</v>
      </c>
      <c r="H77" s="3">
        <f>'input data'!H76</f>
        <v>15.22</v>
      </c>
      <c r="I77" s="3">
        <f>'input data'!I76</f>
        <v>15.24</v>
      </c>
      <c r="J77" s="268"/>
    </row>
    <row r="78" spans="2:16">
      <c r="B78" s="2">
        <v>4</v>
      </c>
      <c r="C78" s="3">
        <f>'input data'!C77</f>
        <v>20</v>
      </c>
      <c r="D78" s="3">
        <f>'input data'!D77</f>
        <v>20.149999999999999</v>
      </c>
      <c r="E78" s="3">
        <f>'input data'!E77</f>
        <v>20.149999999999999</v>
      </c>
      <c r="F78" s="3">
        <f>'input data'!F77</f>
        <v>20.149999999999999</v>
      </c>
      <c r="G78" s="3">
        <f>'input data'!G77</f>
        <v>20.14</v>
      </c>
      <c r="H78" s="3">
        <f>'input data'!H77</f>
        <v>20.149999999999999</v>
      </c>
      <c r="I78" s="3">
        <f>'input data'!I77</f>
        <v>20.149999999999999</v>
      </c>
      <c r="J78" s="268"/>
    </row>
    <row r="79" spans="2:16">
      <c r="B79" s="2">
        <v>5</v>
      </c>
      <c r="C79" s="3">
        <f>'input data'!C78</f>
        <v>25</v>
      </c>
      <c r="D79" s="3">
        <f>'input data'!D78</f>
        <v>25.14</v>
      </c>
      <c r="E79" s="3">
        <f>'input data'!E78</f>
        <v>25.14</v>
      </c>
      <c r="F79" s="3">
        <f>'input data'!F78</f>
        <v>25.14</v>
      </c>
      <c r="G79" s="3">
        <f>'input data'!G78</f>
        <v>25.14</v>
      </c>
      <c r="H79" s="3">
        <f>'input data'!H78</f>
        <v>25.14</v>
      </c>
      <c r="I79" s="3">
        <f>'input data'!I78</f>
        <v>25.21</v>
      </c>
      <c r="J79" s="268"/>
    </row>
    <row r="80" spans="2:16">
      <c r="B80" s="2">
        <v>6</v>
      </c>
      <c r="C80" s="3">
        <f>'input data'!C79</f>
        <v>30</v>
      </c>
      <c r="D80" s="3">
        <f>'input data'!D79</f>
        <v>30.25</v>
      </c>
      <c r="E80" s="3">
        <f>'input data'!E79</f>
        <v>30.25</v>
      </c>
      <c r="F80" s="3">
        <f>'input data'!F79</f>
        <v>30.25</v>
      </c>
      <c r="G80" s="3">
        <f>'input data'!G79</f>
        <v>30.25</v>
      </c>
      <c r="H80" s="3">
        <f>'input data'!H79</f>
        <v>30.25</v>
      </c>
      <c r="I80" s="3">
        <f>'input data'!I79</f>
        <v>30.25</v>
      </c>
      <c r="J80" s="268"/>
    </row>
    <row r="81" spans="2:13">
      <c r="B81" s="90"/>
      <c r="C81" s="91"/>
      <c r="D81" s="92"/>
      <c r="E81" s="92"/>
      <c r="F81" s="90"/>
      <c r="G81" s="90"/>
      <c r="H81" s="90"/>
      <c r="I81" s="90"/>
      <c r="J81" s="90"/>
    </row>
    <row r="82" spans="2:13">
      <c r="B82" s="93" t="s">
        <v>145</v>
      </c>
      <c r="D82" s="1"/>
      <c r="E82" s="1"/>
      <c r="F82" s="1"/>
      <c r="G82" s="1"/>
      <c r="H82" s="90"/>
      <c r="I82" s="90"/>
      <c r="J82" s="90"/>
    </row>
    <row r="83" spans="2:13">
      <c r="B83" s="93" t="s">
        <v>146</v>
      </c>
      <c r="D83" s="1"/>
      <c r="E83" s="1"/>
      <c r="F83" s="1"/>
      <c r="G83" s="1"/>
      <c r="H83" s="90"/>
      <c r="I83" s="90"/>
      <c r="J83" s="90"/>
    </row>
    <row r="84" spans="2:13" ht="15.75" customHeight="1">
      <c r="B84" s="28"/>
      <c r="C84" s="94" t="s">
        <v>147</v>
      </c>
      <c r="D84" s="94" t="s">
        <v>148</v>
      </c>
      <c r="E84" s="90"/>
      <c r="F84" s="331" t="s">
        <v>166</v>
      </c>
      <c r="G84" s="332"/>
      <c r="H84" s="97">
        <v>4</v>
      </c>
      <c r="I84" s="98">
        <f>VLOOKUP(H84,B85:D101,3,FALSE)</f>
        <v>7.5006000000000004</v>
      </c>
      <c r="J84" s="90"/>
    </row>
    <row r="85" spans="2:13" ht="18.75">
      <c r="B85" s="95">
        <v>1</v>
      </c>
      <c r="C85" s="99" t="s">
        <v>149</v>
      </c>
      <c r="D85" s="100">
        <v>51.7151</v>
      </c>
      <c r="E85" s="90"/>
      <c r="F85" s="268" t="s">
        <v>21</v>
      </c>
      <c r="G85" s="268" t="s">
        <v>100</v>
      </c>
      <c r="H85" s="268" t="s">
        <v>101</v>
      </c>
      <c r="I85" s="268"/>
      <c r="J85" s="268"/>
      <c r="K85" s="268"/>
      <c r="L85" s="268"/>
      <c r="M85" s="268"/>
    </row>
    <row r="86" spans="2:13" ht="18.75">
      <c r="B86" s="95">
        <v>2</v>
      </c>
      <c r="C86" s="99" t="s">
        <v>150</v>
      </c>
      <c r="D86" s="100">
        <v>750.06</v>
      </c>
      <c r="E86" s="90"/>
      <c r="F86" s="268"/>
      <c r="G86" s="268"/>
      <c r="H86" s="269" t="s">
        <v>102</v>
      </c>
      <c r="I86" s="269"/>
      <c r="J86" s="268" t="s">
        <v>103</v>
      </c>
      <c r="K86" s="268"/>
      <c r="L86" s="268" t="s">
        <v>104</v>
      </c>
      <c r="M86" s="268"/>
    </row>
    <row r="87" spans="2:13" ht="18.75">
      <c r="B87" s="95">
        <v>3</v>
      </c>
      <c r="C87" s="99" t="s">
        <v>151</v>
      </c>
      <c r="D87" s="100">
        <v>0.75006399999999995</v>
      </c>
      <c r="E87" s="90"/>
      <c r="F87" s="268"/>
      <c r="G87" s="2" t="s">
        <v>105</v>
      </c>
      <c r="H87" s="52" t="s">
        <v>106</v>
      </c>
      <c r="I87" s="52" t="s">
        <v>107</v>
      </c>
      <c r="J87" s="2" t="s">
        <v>106</v>
      </c>
      <c r="K87" s="2" t="s">
        <v>107</v>
      </c>
      <c r="L87" s="2" t="s">
        <v>106</v>
      </c>
      <c r="M87" s="2" t="s">
        <v>107</v>
      </c>
    </row>
    <row r="88" spans="2:13" ht="18.75">
      <c r="B88" s="95">
        <v>4</v>
      </c>
      <c r="C88" s="99" t="s">
        <v>152</v>
      </c>
      <c r="D88" s="100">
        <v>7.5006000000000004</v>
      </c>
      <c r="E88" s="90"/>
      <c r="F88" s="2">
        <v>1</v>
      </c>
      <c r="G88" s="96">
        <f>C75*$I$84</f>
        <v>37.503</v>
      </c>
      <c r="H88" s="96">
        <f t="shared" ref="H88:M88" si="0">D75*$I$84</f>
        <v>38.328066000000007</v>
      </c>
      <c r="I88" s="96">
        <f t="shared" si="0"/>
        <v>38.328066000000007</v>
      </c>
      <c r="J88" s="96">
        <f t="shared" si="0"/>
        <v>38.328066000000007</v>
      </c>
      <c r="K88" s="96">
        <f t="shared" si="0"/>
        <v>38.328066000000007</v>
      </c>
      <c r="L88" s="96">
        <f t="shared" si="0"/>
        <v>38.328066000000007</v>
      </c>
      <c r="M88" s="96">
        <f t="shared" si="0"/>
        <v>38.553083999999998</v>
      </c>
    </row>
    <row r="89" spans="2:13" ht="18.75">
      <c r="B89" s="95">
        <v>5</v>
      </c>
      <c r="C89" s="99" t="s">
        <v>153</v>
      </c>
      <c r="D89" s="100">
        <v>0.75006399999999995</v>
      </c>
      <c r="E89" s="90"/>
      <c r="F89" s="2">
        <v>2</v>
      </c>
      <c r="G89" s="96">
        <f t="shared" ref="G89:G93" si="1">C76*$I$84</f>
        <v>75.006</v>
      </c>
      <c r="H89" s="96">
        <f t="shared" ref="H89:H93" si="2">D76*$I$84</f>
        <v>76.806144000000003</v>
      </c>
      <c r="I89" s="96">
        <f t="shared" ref="I89:I93" si="3">E76*$I$84</f>
        <v>76.806144000000003</v>
      </c>
      <c r="J89" s="96">
        <f t="shared" ref="J89:J93" si="4">F76*$I$84</f>
        <v>76.806144000000003</v>
      </c>
      <c r="K89" s="96">
        <f t="shared" ref="K89:K93" si="5">G76*$I$84</f>
        <v>76.806144000000003</v>
      </c>
      <c r="L89" s="96">
        <f t="shared" ref="L89:L93" si="6">H76*$I$84</f>
        <v>76.806144000000003</v>
      </c>
      <c r="M89" s="96">
        <f t="shared" ref="M89:M93" si="7">I76*$I$84</f>
        <v>76.581126000000012</v>
      </c>
    </row>
    <row r="90" spans="2:13" ht="18.75">
      <c r="B90" s="95">
        <v>6</v>
      </c>
      <c r="C90" s="99" t="s">
        <v>154</v>
      </c>
      <c r="D90" s="100">
        <v>7.5006400000000003E-3</v>
      </c>
      <c r="E90" s="90"/>
      <c r="F90" s="2">
        <v>3</v>
      </c>
      <c r="G90" s="96">
        <f t="shared" si="1"/>
        <v>112.509</v>
      </c>
      <c r="H90" s="96">
        <f t="shared" si="2"/>
        <v>114.309144</v>
      </c>
      <c r="I90" s="96">
        <f t="shared" si="3"/>
        <v>114.309144</v>
      </c>
      <c r="J90" s="96">
        <f t="shared" si="4"/>
        <v>114.309144</v>
      </c>
      <c r="K90" s="96">
        <f t="shared" si="5"/>
        <v>114.309144</v>
      </c>
      <c r="L90" s="96">
        <f t="shared" si="6"/>
        <v>114.15913200000001</v>
      </c>
      <c r="M90" s="96">
        <f t="shared" si="7"/>
        <v>114.309144</v>
      </c>
    </row>
    <row r="91" spans="2:13" ht="18.75">
      <c r="B91" s="95">
        <v>7</v>
      </c>
      <c r="C91" s="99" t="s">
        <v>155</v>
      </c>
      <c r="D91" s="100">
        <v>73.554100000000005</v>
      </c>
      <c r="E91" s="90"/>
      <c r="F91" s="2">
        <v>4</v>
      </c>
      <c r="G91" s="96">
        <f t="shared" si="1"/>
        <v>150.012</v>
      </c>
      <c r="H91" s="96">
        <f t="shared" si="2"/>
        <v>151.13709</v>
      </c>
      <c r="I91" s="96">
        <f t="shared" si="3"/>
        <v>151.13709</v>
      </c>
      <c r="J91" s="96">
        <f t="shared" si="4"/>
        <v>151.13709</v>
      </c>
      <c r="K91" s="96">
        <f t="shared" si="5"/>
        <v>151.062084</v>
      </c>
      <c r="L91" s="96">
        <f t="shared" si="6"/>
        <v>151.13709</v>
      </c>
      <c r="M91" s="96">
        <f t="shared" si="7"/>
        <v>151.13709</v>
      </c>
    </row>
    <row r="92" spans="2:13" ht="18.75">
      <c r="B92" s="95">
        <v>8</v>
      </c>
      <c r="C92" s="99" t="s">
        <v>156</v>
      </c>
      <c r="D92" s="100">
        <v>22.4193</v>
      </c>
      <c r="E92" s="90"/>
      <c r="F92" s="2">
        <v>5</v>
      </c>
      <c r="G92" s="96">
        <f t="shared" si="1"/>
        <v>187.51500000000001</v>
      </c>
      <c r="H92" s="96">
        <f t="shared" si="2"/>
        <v>188.56508400000001</v>
      </c>
      <c r="I92" s="96">
        <f t="shared" si="3"/>
        <v>188.56508400000001</v>
      </c>
      <c r="J92" s="96">
        <f t="shared" si="4"/>
        <v>188.56508400000001</v>
      </c>
      <c r="K92" s="96">
        <f t="shared" si="5"/>
        <v>188.56508400000001</v>
      </c>
      <c r="L92" s="96">
        <f t="shared" si="6"/>
        <v>188.56508400000001</v>
      </c>
      <c r="M92" s="96">
        <f t="shared" si="7"/>
        <v>189.09012600000003</v>
      </c>
    </row>
    <row r="93" spans="2:13" ht="18.75">
      <c r="B93" s="95">
        <v>9</v>
      </c>
      <c r="C93" s="99" t="s">
        <v>157</v>
      </c>
      <c r="D93" s="100">
        <v>1.8683000000000001</v>
      </c>
      <c r="E93" s="90"/>
      <c r="F93" s="2">
        <v>6</v>
      </c>
      <c r="G93" s="96">
        <f t="shared" si="1"/>
        <v>225.018</v>
      </c>
      <c r="H93" s="96">
        <f t="shared" si="2"/>
        <v>226.89315000000002</v>
      </c>
      <c r="I93" s="96">
        <f t="shared" si="3"/>
        <v>226.89315000000002</v>
      </c>
      <c r="J93" s="96">
        <f t="shared" si="4"/>
        <v>226.89315000000002</v>
      </c>
      <c r="K93" s="96">
        <f t="shared" si="5"/>
        <v>226.89315000000002</v>
      </c>
      <c r="L93" s="96">
        <f t="shared" si="6"/>
        <v>226.89315000000002</v>
      </c>
      <c r="M93" s="96">
        <f t="shared" si="7"/>
        <v>226.89315000000002</v>
      </c>
    </row>
    <row r="94" spans="2:13" ht="18.75">
      <c r="B94" s="95">
        <v>10</v>
      </c>
      <c r="C94" s="99" t="s">
        <v>158</v>
      </c>
      <c r="D94" s="100">
        <v>0.735541</v>
      </c>
      <c r="E94" s="90"/>
      <c r="F94" s="90"/>
      <c r="G94" s="90"/>
    </row>
    <row r="95" spans="2:13" ht="18.75">
      <c r="B95" s="95">
        <v>11</v>
      </c>
      <c r="C95" s="99" t="s">
        <v>159</v>
      </c>
      <c r="D95" s="100">
        <v>735.56</v>
      </c>
      <c r="E95" s="90"/>
      <c r="F95" s="90"/>
      <c r="G95" s="90"/>
    </row>
    <row r="96" spans="2:13" ht="18.75">
      <c r="B96" s="95">
        <v>12</v>
      </c>
      <c r="C96" s="99" t="s">
        <v>160</v>
      </c>
      <c r="D96" s="100">
        <v>760</v>
      </c>
      <c r="E96" s="90"/>
      <c r="F96" s="90"/>
      <c r="G96" s="90"/>
    </row>
    <row r="97" spans="2:30" ht="18.75">
      <c r="B97" s="95">
        <v>13</v>
      </c>
      <c r="C97" s="99" t="s">
        <v>161</v>
      </c>
      <c r="D97" s="100">
        <v>1</v>
      </c>
      <c r="E97" s="90"/>
      <c r="F97" s="90"/>
      <c r="G97" s="90"/>
    </row>
    <row r="98" spans="2:30" ht="18.75">
      <c r="B98" s="95">
        <v>14</v>
      </c>
      <c r="C98" s="99" t="s">
        <v>162</v>
      </c>
      <c r="D98" s="100">
        <v>10</v>
      </c>
      <c r="E98" s="90"/>
      <c r="F98" s="90"/>
      <c r="G98" s="90"/>
    </row>
    <row r="99" spans="2:30" ht="18.75">
      <c r="B99" s="95">
        <v>15</v>
      </c>
      <c r="C99" s="99" t="s">
        <v>163</v>
      </c>
      <c r="D99" s="100">
        <v>7500.62</v>
      </c>
      <c r="E99" s="90"/>
      <c r="F99" s="90"/>
      <c r="G99" s="90"/>
    </row>
    <row r="100" spans="2:30" ht="18.75">
      <c r="B100" s="95">
        <v>16</v>
      </c>
      <c r="C100" s="99" t="s">
        <v>164</v>
      </c>
      <c r="D100" s="100">
        <v>25.4</v>
      </c>
      <c r="E100" s="90"/>
      <c r="F100" s="90"/>
      <c r="G100" s="90"/>
    </row>
    <row r="101" spans="2:30" ht="18.75">
      <c r="B101" s="95">
        <v>17</v>
      </c>
      <c r="C101" s="99" t="s">
        <v>165</v>
      </c>
      <c r="D101" s="100">
        <v>7.3554099999999997E-2</v>
      </c>
      <c r="E101" s="90"/>
      <c r="F101" s="90"/>
      <c r="G101" s="90"/>
    </row>
    <row r="102" spans="2:30">
      <c r="B102" s="90"/>
      <c r="C102" s="91"/>
      <c r="D102" s="92"/>
      <c r="E102" s="92"/>
      <c r="F102" s="90"/>
      <c r="G102" s="90"/>
    </row>
    <row r="103" spans="2:30" ht="15" customHeight="1">
      <c r="B103" s="335" t="s">
        <v>167</v>
      </c>
      <c r="C103" s="341" t="s">
        <v>168</v>
      </c>
      <c r="D103" s="342"/>
      <c r="E103" s="342"/>
      <c r="F103" s="342"/>
      <c r="G103" s="342"/>
      <c r="H103" s="343"/>
      <c r="I103" s="346" t="s">
        <v>116</v>
      </c>
      <c r="J103" s="347"/>
      <c r="K103" s="347"/>
      <c r="L103" s="347"/>
      <c r="M103" s="347"/>
      <c r="N103" s="348"/>
      <c r="O103" s="333" t="s">
        <v>134</v>
      </c>
      <c r="P103" s="334"/>
      <c r="Q103" s="333" t="s">
        <v>115</v>
      </c>
      <c r="R103" s="334"/>
      <c r="S103" s="333" t="s">
        <v>114</v>
      </c>
      <c r="T103" s="334"/>
      <c r="U103" s="364" t="s">
        <v>173</v>
      </c>
      <c r="V103" s="365"/>
      <c r="W103" s="272" t="s">
        <v>113</v>
      </c>
      <c r="X103" s="272"/>
      <c r="Y103" s="273" t="s">
        <v>174</v>
      </c>
      <c r="Z103" s="273"/>
      <c r="AA103" s="359" t="s">
        <v>112</v>
      </c>
      <c r="AB103" s="360"/>
      <c r="AC103" s="358" t="s">
        <v>111</v>
      </c>
      <c r="AD103" s="358" t="s">
        <v>110</v>
      </c>
    </row>
    <row r="104" spans="2:30" ht="15" customHeight="1">
      <c r="B104" s="335"/>
      <c r="C104" s="340" t="s">
        <v>169</v>
      </c>
      <c r="D104" s="340"/>
      <c r="E104" s="340"/>
      <c r="F104" s="344" t="s">
        <v>170</v>
      </c>
      <c r="G104" s="344"/>
      <c r="H104" s="345"/>
      <c r="I104" s="340" t="s">
        <v>169</v>
      </c>
      <c r="J104" s="340"/>
      <c r="K104" s="340"/>
      <c r="L104" s="344" t="s">
        <v>170</v>
      </c>
      <c r="M104" s="344"/>
      <c r="N104" s="345"/>
      <c r="O104" s="336" t="s">
        <v>171</v>
      </c>
      <c r="P104" s="338" t="s">
        <v>172</v>
      </c>
      <c r="Q104" s="336" t="s">
        <v>171</v>
      </c>
      <c r="R104" s="338" t="s">
        <v>172</v>
      </c>
      <c r="S104" s="336" t="s">
        <v>171</v>
      </c>
      <c r="T104" s="338" t="s">
        <v>172</v>
      </c>
      <c r="U104" s="336" t="s">
        <v>171</v>
      </c>
      <c r="V104" s="338" t="s">
        <v>172</v>
      </c>
      <c r="W104" s="361" t="s">
        <v>171</v>
      </c>
      <c r="X104" s="362" t="s">
        <v>172</v>
      </c>
      <c r="Y104" s="273"/>
      <c r="Z104" s="273"/>
      <c r="AA104" s="361" t="s">
        <v>171</v>
      </c>
      <c r="AB104" s="362" t="s">
        <v>172</v>
      </c>
      <c r="AC104" s="358"/>
      <c r="AD104" s="358"/>
    </row>
    <row r="105" spans="2:30">
      <c r="B105" s="335"/>
      <c r="C105" s="3" t="s">
        <v>2</v>
      </c>
      <c r="D105" s="3" t="s">
        <v>1</v>
      </c>
      <c r="E105" s="3" t="s">
        <v>0</v>
      </c>
      <c r="F105" s="3" t="s">
        <v>2</v>
      </c>
      <c r="G105" s="3" t="s">
        <v>1</v>
      </c>
      <c r="H105" s="3" t="s">
        <v>0</v>
      </c>
      <c r="I105" s="3" t="s">
        <v>2</v>
      </c>
      <c r="J105" s="3" t="s">
        <v>1</v>
      </c>
      <c r="K105" s="3" t="s">
        <v>0</v>
      </c>
      <c r="L105" s="3" t="s">
        <v>2</v>
      </c>
      <c r="M105" s="3" t="s">
        <v>1</v>
      </c>
      <c r="N105" s="3" t="s">
        <v>0</v>
      </c>
      <c r="O105" s="337"/>
      <c r="P105" s="339"/>
      <c r="Q105" s="337"/>
      <c r="R105" s="339"/>
      <c r="S105" s="337"/>
      <c r="T105" s="339"/>
      <c r="U105" s="337"/>
      <c r="V105" s="339"/>
      <c r="W105" s="361"/>
      <c r="X105" s="362"/>
      <c r="Y105" s="273"/>
      <c r="Z105" s="273"/>
      <c r="AA105" s="361"/>
      <c r="AB105" s="362"/>
      <c r="AC105" s="358"/>
      <c r="AD105" s="358"/>
    </row>
    <row r="106" spans="2:30">
      <c r="B106" s="96">
        <f>G88</f>
        <v>37.503</v>
      </c>
      <c r="C106" s="96">
        <f>H88</f>
        <v>38.328066000000007</v>
      </c>
      <c r="D106" s="96">
        <f>J88</f>
        <v>38.328066000000007</v>
      </c>
      <c r="E106" s="96">
        <f>L88</f>
        <v>38.328066000000007</v>
      </c>
      <c r="F106" s="96">
        <f>I88</f>
        <v>38.328066000000007</v>
      </c>
      <c r="G106" s="96">
        <f>K88</f>
        <v>38.328066000000007</v>
      </c>
      <c r="H106" s="96">
        <f>M88</f>
        <v>38.553083999999998</v>
      </c>
      <c r="I106" s="56">
        <f>C106</f>
        <v>38.328066000000007</v>
      </c>
      <c r="J106" s="56">
        <f t="shared" ref="J106:N106" si="8">D106</f>
        <v>38.328066000000007</v>
      </c>
      <c r="K106" s="56">
        <f t="shared" si="8"/>
        <v>38.328066000000007</v>
      </c>
      <c r="L106" s="56">
        <f t="shared" si="8"/>
        <v>38.328066000000007</v>
      </c>
      <c r="M106" s="56">
        <f t="shared" si="8"/>
        <v>38.328066000000007</v>
      </c>
      <c r="N106" s="56">
        <f t="shared" si="8"/>
        <v>38.553083999999998</v>
      </c>
      <c r="O106" s="56">
        <f>AVERAGE(I106:K106)</f>
        <v>38.328066000000007</v>
      </c>
      <c r="P106" s="56">
        <f>AVERAGE(L106:N106)</f>
        <v>38.403072000000002</v>
      </c>
      <c r="Q106" s="55">
        <f>STDEV(C106:E106)</f>
        <v>0</v>
      </c>
      <c r="R106" s="55">
        <f t="shared" ref="R106:R111" si="9">STDEV(F106:H106)</f>
        <v>0.12991420287250632</v>
      </c>
      <c r="S106" s="56">
        <f>Q106/SQRT(3)</f>
        <v>0</v>
      </c>
      <c r="T106" s="56">
        <f>R106/SQRT(3)</f>
        <v>7.5005999999997186E-2</v>
      </c>
      <c r="U106" s="103">
        <f>O106-B106</f>
        <v>0.82506600000000674</v>
      </c>
      <c r="V106" s="103">
        <f>P106-B106</f>
        <v>0.90007200000000154</v>
      </c>
      <c r="W106" s="56">
        <f>budget!K13</f>
        <v>0.58349153984883662</v>
      </c>
      <c r="X106" s="56">
        <f>budget!X13</f>
        <v>0.60232722054077836</v>
      </c>
      <c r="Y106" s="363">
        <v>0.1</v>
      </c>
      <c r="Z106" s="56">
        <f>B106*$Y$106</f>
        <v>3.7503000000000002</v>
      </c>
      <c r="AA106" s="53" t="str">
        <f>IF(ABS(U106)+W106&lt;=(Z106+1/3*Z106),"Lulus","Tidak Lulus")</f>
        <v>Lulus</v>
      </c>
      <c r="AB106" s="53" t="str">
        <f>IF(ABS(V106)+X106&lt;=(Z106+1/3*Z106),"Lulus","Tidak Lulus")</f>
        <v>Lulus</v>
      </c>
      <c r="AC106" s="349">
        <f>COUNTIF(AA106:AB111,"LULUS")/(COUNTA(AA106:AB111))*100%</f>
        <v>1</v>
      </c>
      <c r="AD106" s="352">
        <f>IF(AC106&gt;=70%,100,0)</f>
        <v>100</v>
      </c>
    </row>
    <row r="107" spans="2:30">
      <c r="B107" s="96">
        <f t="shared" ref="B107:B111" si="10">G89</f>
        <v>75.006</v>
      </c>
      <c r="C107" s="96">
        <f t="shared" ref="C107:C111" si="11">H89</f>
        <v>76.806144000000003</v>
      </c>
      <c r="D107" s="96">
        <f t="shared" ref="D107:D111" si="12">J89</f>
        <v>76.806144000000003</v>
      </c>
      <c r="E107" s="96">
        <f t="shared" ref="E107:E111" si="13">L89</f>
        <v>76.806144000000003</v>
      </c>
      <c r="F107" s="96">
        <f t="shared" ref="F107:F111" si="14">I89</f>
        <v>76.806144000000003</v>
      </c>
      <c r="G107" s="96">
        <f t="shared" ref="G107:G111" si="15">K89</f>
        <v>76.806144000000003</v>
      </c>
      <c r="H107" s="96">
        <f t="shared" ref="H107:H111" si="16">M89</f>
        <v>76.581126000000012</v>
      </c>
      <c r="I107" s="56">
        <f t="shared" ref="I107:I111" si="17">C107</f>
        <v>76.806144000000003</v>
      </c>
      <c r="J107" s="56">
        <f t="shared" ref="J107:J111" si="18">D107</f>
        <v>76.806144000000003</v>
      </c>
      <c r="K107" s="56">
        <f t="shared" ref="K107:K111" si="19">E107</f>
        <v>76.806144000000003</v>
      </c>
      <c r="L107" s="56">
        <f t="shared" ref="L107:L111" si="20">F107</f>
        <v>76.806144000000003</v>
      </c>
      <c r="M107" s="56">
        <f t="shared" ref="M107:M111" si="21">G107</f>
        <v>76.806144000000003</v>
      </c>
      <c r="N107" s="56">
        <f t="shared" ref="N107:N111" si="22">H107</f>
        <v>76.581126000000012</v>
      </c>
      <c r="O107" s="56">
        <f t="shared" ref="O107:O111" si="23">AVERAGE(I107:K107)</f>
        <v>76.806144000000003</v>
      </c>
      <c r="P107" s="56">
        <f t="shared" ref="P107:P111" si="24">AVERAGE(L107:N107)</f>
        <v>76.731138000000001</v>
      </c>
      <c r="Q107" s="55">
        <f t="shared" ref="Q107:Q111" si="25">STDEV(C107:E107)</f>
        <v>0</v>
      </c>
      <c r="R107" s="55">
        <f t="shared" si="9"/>
        <v>0.1299142028725063</v>
      </c>
      <c r="S107" s="56">
        <f t="shared" ref="S107:S111" si="26">Q107/SQRT(3)</f>
        <v>0</v>
      </c>
      <c r="T107" s="56">
        <f t="shared" ref="T107:T111" si="27">R107/SQRT(3)</f>
        <v>7.5005999999997172E-2</v>
      </c>
      <c r="U107" s="103">
        <f t="shared" ref="U107:U110" si="28">O107-B107</f>
        <v>1.8001440000000031</v>
      </c>
      <c r="V107" s="103">
        <f t="shared" ref="V107:V111" si="29">P107-B107</f>
        <v>1.7251380000000012</v>
      </c>
      <c r="W107" s="56">
        <f>budget!K25</f>
        <v>0.59414098104314106</v>
      </c>
      <c r="X107" s="56">
        <f>budget!X25</f>
        <v>0.61261479296241816</v>
      </c>
      <c r="Y107" s="363"/>
      <c r="Z107" s="56">
        <f t="shared" ref="Z107:Z111" si="30">B107*$Y$106</f>
        <v>7.5006000000000004</v>
      </c>
      <c r="AA107" s="53" t="str">
        <f t="shared" ref="AA107:AA111" si="31">IF(ABS(U107)+W107&lt;=(Z107+1/3*Z107),"Lulus","Tidak Lulus")</f>
        <v>Lulus</v>
      </c>
      <c r="AB107" s="53" t="str">
        <f t="shared" ref="AB107:AB111" si="32">IF(ABS(V107)+X107&lt;=(Z107+1/3*Z107),"Lulus","Tidak Lulus")</f>
        <v>Lulus</v>
      </c>
      <c r="AC107" s="350"/>
      <c r="AD107" s="353"/>
    </row>
    <row r="108" spans="2:30">
      <c r="B108" s="96">
        <f t="shared" si="10"/>
        <v>112.509</v>
      </c>
      <c r="C108" s="96">
        <f t="shared" si="11"/>
        <v>114.309144</v>
      </c>
      <c r="D108" s="96">
        <f t="shared" si="12"/>
        <v>114.309144</v>
      </c>
      <c r="E108" s="96">
        <f t="shared" si="13"/>
        <v>114.15913200000001</v>
      </c>
      <c r="F108" s="96">
        <f t="shared" si="14"/>
        <v>114.309144</v>
      </c>
      <c r="G108" s="96">
        <f t="shared" si="15"/>
        <v>114.309144</v>
      </c>
      <c r="H108" s="96">
        <f t="shared" si="16"/>
        <v>114.309144</v>
      </c>
      <c r="I108" s="56">
        <f t="shared" si="17"/>
        <v>114.309144</v>
      </c>
      <c r="J108" s="56">
        <f t="shared" si="18"/>
        <v>114.309144</v>
      </c>
      <c r="K108" s="56">
        <f t="shared" si="19"/>
        <v>114.15913200000001</v>
      </c>
      <c r="L108" s="56">
        <f t="shared" si="20"/>
        <v>114.309144</v>
      </c>
      <c r="M108" s="56">
        <f t="shared" si="21"/>
        <v>114.309144</v>
      </c>
      <c r="N108" s="56">
        <f t="shared" si="22"/>
        <v>114.309144</v>
      </c>
      <c r="O108" s="56">
        <f t="shared" si="23"/>
        <v>114.25914</v>
      </c>
      <c r="P108" s="56">
        <f t="shared" si="24"/>
        <v>114.309144</v>
      </c>
      <c r="Q108" s="55">
        <f t="shared" si="25"/>
        <v>8.6609468581668139E-2</v>
      </c>
      <c r="R108" s="55">
        <f t="shared" si="9"/>
        <v>0</v>
      </c>
      <c r="S108" s="56">
        <f t="shared" si="26"/>
        <v>5.0003999999996537E-2</v>
      </c>
      <c r="T108" s="56">
        <f t="shared" si="27"/>
        <v>0</v>
      </c>
      <c r="U108" s="103">
        <f t="shared" si="28"/>
        <v>1.7501400000000018</v>
      </c>
      <c r="V108" s="103">
        <f t="shared" si="29"/>
        <v>1.8001440000000031</v>
      </c>
      <c r="W108" s="56">
        <f>budget!K37</f>
        <v>0.61928808821377479</v>
      </c>
      <c r="X108" s="56">
        <f>budget!X37</f>
        <v>0.6115581622556453</v>
      </c>
      <c r="Y108" s="363"/>
      <c r="Z108" s="56">
        <f t="shared" si="30"/>
        <v>11.250900000000001</v>
      </c>
      <c r="AA108" s="53" t="str">
        <f t="shared" si="31"/>
        <v>Lulus</v>
      </c>
      <c r="AB108" s="53" t="str">
        <f t="shared" si="32"/>
        <v>Lulus</v>
      </c>
      <c r="AC108" s="350"/>
      <c r="AD108" s="353"/>
    </row>
    <row r="109" spans="2:30">
      <c r="B109" s="96">
        <f t="shared" si="10"/>
        <v>150.012</v>
      </c>
      <c r="C109" s="96">
        <f t="shared" si="11"/>
        <v>151.13709</v>
      </c>
      <c r="D109" s="96">
        <f t="shared" si="12"/>
        <v>151.13709</v>
      </c>
      <c r="E109" s="96">
        <f t="shared" si="13"/>
        <v>151.13709</v>
      </c>
      <c r="F109" s="96">
        <f t="shared" si="14"/>
        <v>151.13709</v>
      </c>
      <c r="G109" s="96">
        <f t="shared" si="15"/>
        <v>151.062084</v>
      </c>
      <c r="H109" s="96">
        <f t="shared" si="16"/>
        <v>151.13709</v>
      </c>
      <c r="I109" s="56">
        <f t="shared" si="17"/>
        <v>151.13709</v>
      </c>
      <c r="J109" s="56">
        <f t="shared" si="18"/>
        <v>151.13709</v>
      </c>
      <c r="K109" s="56">
        <f t="shared" si="19"/>
        <v>151.13709</v>
      </c>
      <c r="L109" s="56">
        <f t="shared" si="20"/>
        <v>151.13709</v>
      </c>
      <c r="M109" s="56">
        <f t="shared" si="21"/>
        <v>151.062084</v>
      </c>
      <c r="N109" s="56">
        <f t="shared" si="22"/>
        <v>151.13709</v>
      </c>
      <c r="O109" s="56">
        <f t="shared" si="23"/>
        <v>151.13709</v>
      </c>
      <c r="P109" s="56">
        <f t="shared" si="24"/>
        <v>151.112088</v>
      </c>
      <c r="Q109" s="55">
        <f t="shared" si="25"/>
        <v>0</v>
      </c>
      <c r="R109" s="55">
        <f t="shared" si="9"/>
        <v>4.330473429083817E-2</v>
      </c>
      <c r="S109" s="56">
        <f t="shared" si="26"/>
        <v>0</v>
      </c>
      <c r="T109" s="56">
        <f t="shared" si="27"/>
        <v>2.5002000000000638E-2</v>
      </c>
      <c r="U109" s="103">
        <f t="shared" si="28"/>
        <v>1.1250900000000001</v>
      </c>
      <c r="V109" s="103">
        <f t="shared" si="29"/>
        <v>1.1000879999999995</v>
      </c>
      <c r="W109" s="56">
        <f>budget!K49</f>
        <v>0.63565937456124233</v>
      </c>
      <c r="X109" s="56">
        <f>budget!X49</f>
        <v>0.6374543780895523</v>
      </c>
      <c r="Y109" s="363"/>
      <c r="Z109" s="56">
        <f t="shared" si="30"/>
        <v>15.001200000000001</v>
      </c>
      <c r="AA109" s="53" t="str">
        <f t="shared" si="31"/>
        <v>Lulus</v>
      </c>
      <c r="AB109" s="53" t="str">
        <f t="shared" si="32"/>
        <v>Lulus</v>
      </c>
      <c r="AC109" s="350"/>
      <c r="AD109" s="353"/>
    </row>
    <row r="110" spans="2:30">
      <c r="B110" s="96">
        <f t="shared" si="10"/>
        <v>187.51500000000001</v>
      </c>
      <c r="C110" s="96">
        <f t="shared" si="11"/>
        <v>188.56508400000001</v>
      </c>
      <c r="D110" s="96">
        <f t="shared" si="12"/>
        <v>188.56508400000001</v>
      </c>
      <c r="E110" s="96">
        <f t="shared" si="13"/>
        <v>188.56508400000001</v>
      </c>
      <c r="F110" s="96">
        <f t="shared" si="14"/>
        <v>188.56508400000001</v>
      </c>
      <c r="G110" s="96">
        <f t="shared" si="15"/>
        <v>188.56508400000001</v>
      </c>
      <c r="H110" s="96">
        <f t="shared" si="16"/>
        <v>189.09012600000003</v>
      </c>
      <c r="I110" s="56">
        <f t="shared" si="17"/>
        <v>188.56508400000001</v>
      </c>
      <c r="J110" s="56">
        <f t="shared" si="18"/>
        <v>188.56508400000001</v>
      </c>
      <c r="K110" s="56">
        <f t="shared" si="19"/>
        <v>188.56508400000001</v>
      </c>
      <c r="L110" s="56">
        <f t="shared" si="20"/>
        <v>188.56508400000001</v>
      </c>
      <c r="M110" s="56">
        <f t="shared" si="21"/>
        <v>188.56508400000001</v>
      </c>
      <c r="N110" s="56">
        <f t="shared" si="22"/>
        <v>189.09012600000003</v>
      </c>
      <c r="O110" s="56">
        <f t="shared" si="23"/>
        <v>188.56508399999998</v>
      </c>
      <c r="P110" s="56">
        <f t="shared" si="24"/>
        <v>188.74009800000002</v>
      </c>
      <c r="Q110" s="55">
        <f t="shared" si="25"/>
        <v>3.4809342861069267E-14</v>
      </c>
      <c r="R110" s="55">
        <f t="shared" si="9"/>
        <v>0.30313314003586717</v>
      </c>
      <c r="S110" s="56">
        <f t="shared" si="26"/>
        <v>2.0097183471152319E-14</v>
      </c>
      <c r="T110" s="56">
        <f t="shared" si="27"/>
        <v>0.17501400000000444</v>
      </c>
      <c r="U110" s="103">
        <f t="shared" si="28"/>
        <v>1.0500839999999698</v>
      </c>
      <c r="V110" s="103">
        <f t="shared" si="29"/>
        <v>1.2250980000000027</v>
      </c>
      <c r="W110" s="56">
        <f>budget!K61</f>
        <v>0.6655378886317862</v>
      </c>
      <c r="X110" s="56">
        <f>budget!X61</f>
        <v>0.76885439063036476</v>
      </c>
      <c r="Y110" s="363"/>
      <c r="Z110" s="56">
        <f t="shared" si="30"/>
        <v>18.751500000000004</v>
      </c>
      <c r="AA110" s="53" t="str">
        <f t="shared" si="31"/>
        <v>Lulus</v>
      </c>
      <c r="AB110" s="53" t="str">
        <f t="shared" si="32"/>
        <v>Lulus</v>
      </c>
      <c r="AC110" s="350"/>
      <c r="AD110" s="353"/>
    </row>
    <row r="111" spans="2:30">
      <c r="B111" s="96">
        <f t="shared" si="10"/>
        <v>225.018</v>
      </c>
      <c r="C111" s="96">
        <f t="shared" si="11"/>
        <v>226.89315000000002</v>
      </c>
      <c r="D111" s="96">
        <f t="shared" si="12"/>
        <v>226.89315000000002</v>
      </c>
      <c r="E111" s="96">
        <f t="shared" si="13"/>
        <v>226.89315000000002</v>
      </c>
      <c r="F111" s="96">
        <f t="shared" si="14"/>
        <v>226.89315000000002</v>
      </c>
      <c r="G111" s="96">
        <f t="shared" si="15"/>
        <v>226.89315000000002</v>
      </c>
      <c r="H111" s="96">
        <f t="shared" si="16"/>
        <v>226.89315000000002</v>
      </c>
      <c r="I111" s="56">
        <f t="shared" si="17"/>
        <v>226.89315000000002</v>
      </c>
      <c r="J111" s="56">
        <f t="shared" si="18"/>
        <v>226.89315000000002</v>
      </c>
      <c r="K111" s="56">
        <f t="shared" si="19"/>
        <v>226.89315000000002</v>
      </c>
      <c r="L111" s="56">
        <f t="shared" si="20"/>
        <v>226.89315000000002</v>
      </c>
      <c r="M111" s="56">
        <f t="shared" si="21"/>
        <v>226.89315000000002</v>
      </c>
      <c r="N111" s="56">
        <f t="shared" si="22"/>
        <v>226.89315000000002</v>
      </c>
      <c r="O111" s="56">
        <f t="shared" si="23"/>
        <v>226.89315000000002</v>
      </c>
      <c r="P111" s="56">
        <f t="shared" si="24"/>
        <v>226.89315000000002</v>
      </c>
      <c r="Q111" s="55">
        <f t="shared" si="25"/>
        <v>0</v>
      </c>
      <c r="R111" s="55">
        <f t="shared" si="9"/>
        <v>0</v>
      </c>
      <c r="S111" s="56">
        <f t="shared" si="26"/>
        <v>0</v>
      </c>
      <c r="T111" s="56">
        <f t="shared" si="27"/>
        <v>0</v>
      </c>
      <c r="U111" s="103">
        <f>O111-B111</f>
        <v>1.8751500000000192</v>
      </c>
      <c r="V111" s="103">
        <f t="shared" si="29"/>
        <v>1.8751500000000192</v>
      </c>
      <c r="W111" s="56">
        <f>budget!K73</f>
        <v>0.70078217315055902</v>
      </c>
      <c r="X111" s="56">
        <f>budget!X73</f>
        <v>0.70078217315055902</v>
      </c>
      <c r="Y111" s="363"/>
      <c r="Z111" s="56">
        <f t="shared" si="30"/>
        <v>22.501800000000003</v>
      </c>
      <c r="AA111" s="53" t="str">
        <f t="shared" si="31"/>
        <v>Lulus</v>
      </c>
      <c r="AB111" s="53" t="str">
        <f t="shared" si="32"/>
        <v>Lulus</v>
      </c>
      <c r="AC111" s="351"/>
      <c r="AD111" s="354"/>
    </row>
  </sheetData>
  <mergeCells count="135">
    <mergeCell ref="AC106:AC111"/>
    <mergeCell ref="AD106:AD111"/>
    <mergeCell ref="Q15:R15"/>
    <mergeCell ref="S15:T15"/>
    <mergeCell ref="AC103:AC105"/>
    <mergeCell ref="AD103:AD105"/>
    <mergeCell ref="AA103:AB103"/>
    <mergeCell ref="AA104:AA105"/>
    <mergeCell ref="AB104:AB105"/>
    <mergeCell ref="W103:X103"/>
    <mergeCell ref="W104:W105"/>
    <mergeCell ref="X104:X105"/>
    <mergeCell ref="Y106:Y111"/>
    <mergeCell ref="Y103:Z105"/>
    <mergeCell ref="S104:S105"/>
    <mergeCell ref="T104:T105"/>
    <mergeCell ref="S103:T103"/>
    <mergeCell ref="U104:U105"/>
    <mergeCell ref="V104:V105"/>
    <mergeCell ref="U103:V103"/>
    <mergeCell ref="AD45:AE45"/>
    <mergeCell ref="Y45:AA45"/>
    <mergeCell ref="AB45:AC45"/>
    <mergeCell ref="W15:W16"/>
    <mergeCell ref="Q104:Q105"/>
    <mergeCell ref="R104:R105"/>
    <mergeCell ref="Q103:R103"/>
    <mergeCell ref="C104:E104"/>
    <mergeCell ref="C103:H103"/>
    <mergeCell ref="F104:H104"/>
    <mergeCell ref="I103:N103"/>
    <mergeCell ref="I104:K104"/>
    <mergeCell ref="L104:N104"/>
    <mergeCell ref="F84:G84"/>
    <mergeCell ref="B72:B74"/>
    <mergeCell ref="C72:C73"/>
    <mergeCell ref="D72:I72"/>
    <mergeCell ref="J72:J74"/>
    <mergeCell ref="D73:E73"/>
    <mergeCell ref="F73:G73"/>
    <mergeCell ref="H73:I73"/>
    <mergeCell ref="O103:P103"/>
    <mergeCell ref="B103:B105"/>
    <mergeCell ref="O104:O105"/>
    <mergeCell ref="P104:P105"/>
    <mergeCell ref="C10:F10"/>
    <mergeCell ref="L31:L50"/>
    <mergeCell ref="J75:J80"/>
    <mergeCell ref="F85:F87"/>
    <mergeCell ref="G85:G86"/>
    <mergeCell ref="B61:B62"/>
    <mergeCell ref="C61:G62"/>
    <mergeCell ref="E57:G57"/>
    <mergeCell ref="I31:I32"/>
    <mergeCell ref="I33:I34"/>
    <mergeCell ref="I35:I36"/>
    <mergeCell ref="I37:I38"/>
    <mergeCell ref="B24:B26"/>
    <mergeCell ref="C15:E15"/>
    <mergeCell ref="C16:E16"/>
    <mergeCell ref="C17:E17"/>
    <mergeCell ref="B31:B34"/>
    <mergeCell ref="C31:G34"/>
    <mergeCell ref="B57:D59"/>
    <mergeCell ref="E58:G58"/>
    <mergeCell ref="H85:M85"/>
    <mergeCell ref="H86:I86"/>
    <mergeCell ref="J86:K86"/>
    <mergeCell ref="L86:M86"/>
    <mergeCell ref="C2:J2"/>
    <mergeCell ref="H5:J5"/>
    <mergeCell ref="H6:J6"/>
    <mergeCell ref="H7:J7"/>
    <mergeCell ref="C5:F5"/>
    <mergeCell ref="C6:F6"/>
    <mergeCell ref="C7:F7"/>
    <mergeCell ref="B55:D55"/>
    <mergeCell ref="B41:B44"/>
    <mergeCell ref="C41:G44"/>
    <mergeCell ref="B35:B38"/>
    <mergeCell ref="C35:G38"/>
    <mergeCell ref="H8:J8"/>
    <mergeCell ref="H9:J9"/>
    <mergeCell ref="H10:J10"/>
    <mergeCell ref="C8:F8"/>
    <mergeCell ref="C9:F9"/>
    <mergeCell ref="C11:F11"/>
    <mergeCell ref="B45:B46"/>
    <mergeCell ref="C45:G46"/>
    <mergeCell ref="B39:B40"/>
    <mergeCell ref="C39:G40"/>
    <mergeCell ref="C14:E14"/>
    <mergeCell ref="B54:D54"/>
    <mergeCell ref="H61:H62"/>
    <mergeCell ref="B69:D69"/>
    <mergeCell ref="I41:I42"/>
    <mergeCell ref="J45:J46"/>
    <mergeCell ref="B47:B48"/>
    <mergeCell ref="C47:G48"/>
    <mergeCell ref="B56:D56"/>
    <mergeCell ref="P61:P62"/>
    <mergeCell ref="P63:P65"/>
    <mergeCell ref="J61:K61"/>
    <mergeCell ref="O61:O62"/>
    <mergeCell ref="C64:G64"/>
    <mergeCell ref="C65:G65"/>
    <mergeCell ref="C63:G63"/>
    <mergeCell ref="I61:I62"/>
    <mergeCell ref="L61:N62"/>
    <mergeCell ref="B49:B50"/>
    <mergeCell ref="C49:G50"/>
    <mergeCell ref="J49:J50"/>
    <mergeCell ref="K31:K50"/>
    <mergeCell ref="J47:J48"/>
    <mergeCell ref="W45:X45"/>
    <mergeCell ref="E59:G59"/>
    <mergeCell ref="J31:J34"/>
    <mergeCell ref="J35:J38"/>
    <mergeCell ref="J39:J40"/>
    <mergeCell ref="J41:J44"/>
    <mergeCell ref="I43:I44"/>
    <mergeCell ref="U15:V15"/>
    <mergeCell ref="J15:J16"/>
    <mergeCell ref="K15:K16"/>
    <mergeCell ref="L15:L16"/>
    <mergeCell ref="M15:M16"/>
    <mergeCell ref="N15:N16"/>
    <mergeCell ref="N45:N46"/>
    <mergeCell ref="O45:O46"/>
    <mergeCell ref="P45:P46"/>
    <mergeCell ref="Q45:Q46"/>
    <mergeCell ref="R45:R46"/>
    <mergeCell ref="O15:P15"/>
    <mergeCell ref="S45:S46"/>
    <mergeCell ref="T45:V45"/>
  </mergeCells>
  <pageMargins left="0.7" right="0.7" top="0.75" bottom="0.75" header="0.3" footer="0.3"/>
  <pageSetup orientation="portrait" horizontalDpi="360" verticalDpi="36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3C425-6345-43DF-9E19-3376015AB471}">
  <dimension ref="J9:M9"/>
  <sheetViews>
    <sheetView workbookViewId="0">
      <selection activeCell="J12" sqref="J12"/>
    </sheetView>
  </sheetViews>
  <sheetFormatPr defaultRowHeight="15"/>
  <sheetData>
    <row r="9" spans="10:13">
      <c r="J9" s="205">
        <v>2.3999999999999998E-3</v>
      </c>
      <c r="K9" s="200" t="s">
        <v>340</v>
      </c>
      <c r="L9" s="205">
        <v>1.8E-3</v>
      </c>
      <c r="M9" s="200" t="s">
        <v>341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02C1F-4FB4-4F59-82C6-D484A496E192}">
  <dimension ref="B1:Y73"/>
  <sheetViews>
    <sheetView zoomScale="115" zoomScaleNormal="115" workbookViewId="0">
      <selection activeCell="G5" sqref="G5"/>
    </sheetView>
  </sheetViews>
  <sheetFormatPr defaultRowHeight="15"/>
  <cols>
    <col min="2" max="2" width="23.5703125" customWidth="1"/>
    <col min="4" max="4" width="15.7109375" customWidth="1"/>
    <col min="15" max="15" width="20.140625" customWidth="1"/>
  </cols>
  <sheetData>
    <row r="1" spans="2:25">
      <c r="B1" s="366" t="s">
        <v>169</v>
      </c>
      <c r="C1" s="366"/>
      <c r="D1" s="366"/>
      <c r="E1" s="366"/>
      <c r="F1" s="366"/>
      <c r="G1" s="366"/>
      <c r="H1" s="366"/>
      <c r="I1" s="366"/>
      <c r="J1" s="366"/>
      <c r="K1" s="366"/>
      <c r="L1" s="366"/>
      <c r="O1" s="368" t="s">
        <v>170</v>
      </c>
      <c r="P1" s="368"/>
      <c r="Q1" s="368"/>
      <c r="R1" s="368"/>
      <c r="S1" s="368"/>
      <c r="T1" s="368"/>
      <c r="U1" s="368"/>
      <c r="V1" s="368"/>
      <c r="W1" s="368"/>
      <c r="X1" s="368"/>
      <c r="Y1" s="368"/>
    </row>
    <row r="3" spans="2:25">
      <c r="B3" s="106">
        <f>skorsing!G88</f>
        <v>37.503</v>
      </c>
      <c r="O3" s="106">
        <f>B3</f>
        <v>37.503</v>
      </c>
    </row>
    <row r="4" spans="2:25">
      <c r="B4" s="101" t="s">
        <v>175</v>
      </c>
      <c r="C4" s="101" t="s">
        <v>176</v>
      </c>
      <c r="D4" s="101" t="s">
        <v>177</v>
      </c>
      <c r="E4" s="101" t="s">
        <v>178</v>
      </c>
      <c r="F4" s="101" t="s">
        <v>179</v>
      </c>
      <c r="G4" s="101" t="s">
        <v>180</v>
      </c>
      <c r="H4" s="101" t="s">
        <v>181</v>
      </c>
      <c r="I4" s="101" t="s">
        <v>182</v>
      </c>
      <c r="J4" s="101" t="s">
        <v>183</v>
      </c>
      <c r="K4" s="101" t="s">
        <v>184</v>
      </c>
      <c r="L4" s="104" t="s">
        <v>185</v>
      </c>
      <c r="O4" s="107" t="s">
        <v>175</v>
      </c>
      <c r="P4" s="107" t="s">
        <v>176</v>
      </c>
      <c r="Q4" s="107" t="s">
        <v>177</v>
      </c>
      <c r="R4" s="107" t="s">
        <v>178</v>
      </c>
      <c r="S4" s="107" t="s">
        <v>179</v>
      </c>
      <c r="T4" s="107" t="s">
        <v>180</v>
      </c>
      <c r="U4" s="107" t="s">
        <v>181</v>
      </c>
      <c r="V4" s="107" t="s">
        <v>182</v>
      </c>
      <c r="W4" s="107" t="s">
        <v>183</v>
      </c>
      <c r="X4" s="107" t="s">
        <v>184</v>
      </c>
      <c r="Y4" s="108" t="s">
        <v>185</v>
      </c>
    </row>
    <row r="5" spans="2:25">
      <c r="B5" s="55" t="s">
        <v>186</v>
      </c>
      <c r="C5" s="54" t="s">
        <v>161</v>
      </c>
      <c r="D5" s="55" t="s">
        <v>187</v>
      </c>
      <c r="E5" s="56">
        <f>skorsing!S106</f>
        <v>0</v>
      </c>
      <c r="F5" s="56">
        <v>1</v>
      </c>
      <c r="G5" s="54">
        <f>3-1</f>
        <v>2</v>
      </c>
      <c r="H5" s="54">
        <f>E5/F5</f>
        <v>0</v>
      </c>
      <c r="I5" s="54">
        <v>1</v>
      </c>
      <c r="J5" s="54">
        <f>H5*I5</f>
        <v>0</v>
      </c>
      <c r="K5" s="54">
        <f>J5^2</f>
        <v>0</v>
      </c>
      <c r="L5" s="54">
        <f>J5^4/G5</f>
        <v>0</v>
      </c>
      <c r="O5" s="55" t="s">
        <v>186</v>
      </c>
      <c r="P5" s="54" t="s">
        <v>161</v>
      </c>
      <c r="Q5" s="55" t="s">
        <v>187</v>
      </c>
      <c r="R5" s="56">
        <f>skorsing!T106</f>
        <v>7.5005999999997186E-2</v>
      </c>
      <c r="S5" s="56">
        <v>1</v>
      </c>
      <c r="T5" s="54">
        <f>3-1</f>
        <v>2</v>
      </c>
      <c r="U5" s="54">
        <f>R5/S5</f>
        <v>7.5005999999997186E-2</v>
      </c>
      <c r="V5" s="54">
        <v>1</v>
      </c>
      <c r="W5" s="54">
        <f>U5*V5</f>
        <v>7.5005999999997186E-2</v>
      </c>
      <c r="X5" s="54">
        <f>W5^2</f>
        <v>5.625900035999578E-3</v>
      </c>
      <c r="Y5" s="54">
        <f>W5^4/T5</f>
        <v>1.5825375607530025E-5</v>
      </c>
    </row>
    <row r="6" spans="2:25">
      <c r="B6" s="55" t="s">
        <v>188</v>
      </c>
      <c r="C6" s="54" t="s">
        <v>161</v>
      </c>
      <c r="D6" s="55" t="s">
        <v>189</v>
      </c>
      <c r="E6" s="54">
        <f>standar!$L$9*budget!B3</f>
        <v>6.7505399999999993E-2</v>
      </c>
      <c r="F6" s="56">
        <v>2</v>
      </c>
      <c r="G6" s="78">
        <f>1/2*(100/10)^2</f>
        <v>50</v>
      </c>
      <c r="H6" s="54">
        <f t="shared" ref="H6:H8" si="0">E6/F6</f>
        <v>3.3752699999999997E-2</v>
      </c>
      <c r="I6" s="54">
        <v>1</v>
      </c>
      <c r="J6" s="54">
        <f t="shared" ref="J6:J8" si="1">H6*I6</f>
        <v>3.3752699999999997E-2</v>
      </c>
      <c r="K6" s="54">
        <f t="shared" ref="K6:K8" si="2">J6^2</f>
        <v>1.1392447572899998E-3</v>
      </c>
      <c r="L6" s="54">
        <f t="shared" ref="L6:L8" si="3">J6^4/G6</f>
        <v>2.595757234025501E-8</v>
      </c>
      <c r="O6" s="55" t="s">
        <v>188</v>
      </c>
      <c r="P6" s="54" t="s">
        <v>161</v>
      </c>
      <c r="Q6" s="55" t="s">
        <v>189</v>
      </c>
      <c r="R6" s="200">
        <f>standar!$L$9*budget!O3</f>
        <v>6.7505399999999993E-2</v>
      </c>
      <c r="S6" s="56">
        <v>2</v>
      </c>
      <c r="T6" s="78">
        <f>1/2*(100/10)^2</f>
        <v>50</v>
      </c>
      <c r="U6" s="54">
        <f t="shared" ref="U6:U8" si="4">R6/S6</f>
        <v>3.3752699999999997E-2</v>
      </c>
      <c r="V6" s="54">
        <v>1</v>
      </c>
      <c r="W6" s="54">
        <f t="shared" ref="W6:W8" si="5">U6*V6</f>
        <v>3.3752699999999997E-2</v>
      </c>
      <c r="X6" s="54">
        <f t="shared" ref="X6:X8" si="6">W6^2</f>
        <v>1.1392447572899998E-3</v>
      </c>
      <c r="Y6" s="54">
        <f t="shared" ref="Y6:Y8" si="7">W6^4/T6</f>
        <v>2.595757234025501E-8</v>
      </c>
    </row>
    <row r="7" spans="2:25">
      <c r="B7" s="55" t="s">
        <v>190</v>
      </c>
      <c r="C7" s="54" t="s">
        <v>161</v>
      </c>
      <c r="D7" s="55" t="s">
        <v>191</v>
      </c>
      <c r="E7" s="54">
        <f>0.5*'input data'!$C$11</f>
        <v>0.5</v>
      </c>
      <c r="F7" s="56">
        <f>SQRT(3)</f>
        <v>1.7320508075688772</v>
      </c>
      <c r="G7" s="78">
        <f t="shared" ref="G7:G8" si="8">1/2*(100/10)^2</f>
        <v>50</v>
      </c>
      <c r="H7" s="54">
        <f t="shared" si="0"/>
        <v>0.28867513459481292</v>
      </c>
      <c r="I7" s="54">
        <v>1</v>
      </c>
      <c r="J7" s="54">
        <f t="shared" si="1"/>
        <v>0.28867513459481292</v>
      </c>
      <c r="K7" s="54">
        <f t="shared" si="2"/>
        <v>8.3333333333333356E-2</v>
      </c>
      <c r="L7" s="54">
        <f t="shared" si="3"/>
        <v>1.3888888888888897E-4</v>
      </c>
      <c r="O7" s="55" t="s">
        <v>190</v>
      </c>
      <c r="P7" s="54" t="s">
        <v>161</v>
      </c>
      <c r="Q7" s="55" t="s">
        <v>191</v>
      </c>
      <c r="R7" s="54">
        <f>0.5*'input data'!$C$11</f>
        <v>0.5</v>
      </c>
      <c r="S7" s="56">
        <f>SQRT(3)</f>
        <v>1.7320508075688772</v>
      </c>
      <c r="T7" s="78">
        <f t="shared" ref="T7:T8" si="9">1/2*(100/10)^2</f>
        <v>50</v>
      </c>
      <c r="U7" s="54">
        <f t="shared" si="4"/>
        <v>0.28867513459481292</v>
      </c>
      <c r="V7" s="54">
        <v>1</v>
      </c>
      <c r="W7" s="54">
        <f t="shared" si="5"/>
        <v>0.28867513459481292</v>
      </c>
      <c r="X7" s="54">
        <f t="shared" si="6"/>
        <v>8.3333333333333356E-2</v>
      </c>
      <c r="Y7" s="54">
        <f t="shared" si="7"/>
        <v>1.3888888888888897E-4</v>
      </c>
    </row>
    <row r="8" spans="2:25">
      <c r="B8" s="55" t="s">
        <v>192</v>
      </c>
      <c r="C8" s="54" t="s">
        <v>161</v>
      </c>
      <c r="D8" s="55" t="s">
        <v>191</v>
      </c>
      <c r="E8" s="54">
        <f>1/2*10%*(0.1%*B3)</f>
        <v>1.8751500000000001E-3</v>
      </c>
      <c r="F8" s="56">
        <f>SQRT(3)</f>
        <v>1.7320508075688772</v>
      </c>
      <c r="G8" s="78">
        <f t="shared" si="8"/>
        <v>50</v>
      </c>
      <c r="H8" s="54">
        <f t="shared" si="0"/>
        <v>1.0826183572709269E-3</v>
      </c>
      <c r="I8" s="54">
        <v>1</v>
      </c>
      <c r="J8" s="54">
        <f t="shared" si="1"/>
        <v>1.0826183572709269E-3</v>
      </c>
      <c r="K8" s="54">
        <f t="shared" si="2"/>
        <v>1.1720625075000002E-6</v>
      </c>
      <c r="L8" s="54">
        <f t="shared" si="3"/>
        <v>2.7474610429743762E-14</v>
      </c>
      <c r="O8" s="55" t="s">
        <v>192</v>
      </c>
      <c r="P8" s="54" t="s">
        <v>161</v>
      </c>
      <c r="Q8" s="55" t="s">
        <v>191</v>
      </c>
      <c r="R8" s="54">
        <f>1/2*10%*(0.1%*O3)</f>
        <v>1.8751500000000001E-3</v>
      </c>
      <c r="S8" s="56">
        <f>SQRT(3)</f>
        <v>1.7320508075688772</v>
      </c>
      <c r="T8" s="78">
        <f t="shared" si="9"/>
        <v>50</v>
      </c>
      <c r="U8" s="54">
        <f t="shared" si="4"/>
        <v>1.0826183572709269E-3</v>
      </c>
      <c r="V8" s="54">
        <v>1</v>
      </c>
      <c r="W8" s="54">
        <f t="shared" si="5"/>
        <v>1.0826183572709269E-3</v>
      </c>
      <c r="X8" s="54">
        <f t="shared" si="6"/>
        <v>1.1720625075000002E-6</v>
      </c>
      <c r="Y8" s="54">
        <f t="shared" si="7"/>
        <v>2.7474610429743762E-14</v>
      </c>
    </row>
    <row r="9" spans="2:25">
      <c r="B9" s="367" t="s">
        <v>193</v>
      </c>
      <c r="C9" s="367"/>
      <c r="D9" s="367"/>
      <c r="E9" s="367"/>
      <c r="F9" s="367"/>
      <c r="G9" s="367"/>
      <c r="H9" s="367"/>
      <c r="I9" s="367"/>
      <c r="J9" s="367"/>
      <c r="K9" s="55">
        <f>SUM(K5:K8)</f>
        <v>8.4473750153130869E-2</v>
      </c>
      <c r="L9" s="54">
        <f>SUM(L5:L8)</f>
        <v>1.3891484648870383E-4</v>
      </c>
      <c r="O9" s="367" t="s">
        <v>193</v>
      </c>
      <c r="P9" s="367"/>
      <c r="Q9" s="367"/>
      <c r="R9" s="367"/>
      <c r="S9" s="367"/>
      <c r="T9" s="367"/>
      <c r="U9" s="367"/>
      <c r="V9" s="367"/>
      <c r="W9" s="367"/>
      <c r="X9" s="55">
        <f>SUM(X5:X8)</f>
        <v>9.0099650189130437E-2</v>
      </c>
      <c r="Y9" s="54">
        <f>SUM(Y5:Y8)</f>
        <v>1.5474022209623385E-4</v>
      </c>
    </row>
    <row r="10" spans="2:25">
      <c r="B10" s="367" t="s">
        <v>194</v>
      </c>
      <c r="C10" s="367"/>
      <c r="D10" s="367"/>
      <c r="E10" s="367"/>
      <c r="F10" s="367"/>
      <c r="G10" s="367"/>
      <c r="H10" s="367"/>
      <c r="I10" s="367"/>
      <c r="J10" s="367"/>
      <c r="K10" s="55">
        <f>SQRT(K9)</f>
        <v>0.29064368245866085</v>
      </c>
      <c r="L10" s="102"/>
      <c r="O10" s="367" t="s">
        <v>194</v>
      </c>
      <c r="P10" s="367"/>
      <c r="Q10" s="367"/>
      <c r="R10" s="367"/>
      <c r="S10" s="367"/>
      <c r="T10" s="367"/>
      <c r="U10" s="367"/>
      <c r="V10" s="367"/>
      <c r="W10" s="367"/>
      <c r="X10" s="55">
        <f>SQRT(X9)</f>
        <v>0.30016603770102046</v>
      </c>
      <c r="Y10" s="102"/>
    </row>
    <row r="11" spans="2:25">
      <c r="B11" s="367" t="s">
        <v>195</v>
      </c>
      <c r="C11" s="367"/>
      <c r="D11" s="367"/>
      <c r="E11" s="367"/>
      <c r="F11" s="367"/>
      <c r="G11" s="367"/>
      <c r="H11" s="367"/>
      <c r="I11" s="367"/>
      <c r="J11" s="367"/>
      <c r="K11" s="55">
        <f>K10^4/L9</f>
        <v>51.368263690330934</v>
      </c>
      <c r="L11" s="102"/>
      <c r="O11" s="367" t="s">
        <v>195</v>
      </c>
      <c r="P11" s="367"/>
      <c r="Q11" s="367"/>
      <c r="R11" s="367"/>
      <c r="S11" s="367"/>
      <c r="T11" s="367"/>
      <c r="U11" s="367"/>
      <c r="V11" s="367"/>
      <c r="W11" s="367"/>
      <c r="X11" s="55">
        <f>X10^4/Y9</f>
        <v>52.461776610059886</v>
      </c>
      <c r="Y11" s="102"/>
    </row>
    <row r="12" spans="2:25">
      <c r="B12" s="367" t="s">
        <v>196</v>
      </c>
      <c r="C12" s="367"/>
      <c r="D12" s="367"/>
      <c r="E12" s="367"/>
      <c r="F12" s="367"/>
      <c r="G12" s="367"/>
      <c r="H12" s="367"/>
      <c r="I12" s="367"/>
      <c r="J12" s="367"/>
      <c r="K12" s="55">
        <f>TINV(0.05,K11)</f>
        <v>2.007583770315835</v>
      </c>
      <c r="L12" s="102"/>
      <c r="O12" s="367" t="s">
        <v>196</v>
      </c>
      <c r="P12" s="367"/>
      <c r="Q12" s="367"/>
      <c r="R12" s="367"/>
      <c r="S12" s="367"/>
      <c r="T12" s="367"/>
      <c r="U12" s="367"/>
      <c r="V12" s="367"/>
      <c r="W12" s="367"/>
      <c r="X12" s="55">
        <f>TINV(0.05,X11)</f>
        <v>2.0066468050616861</v>
      </c>
      <c r="Y12" s="102"/>
    </row>
    <row r="13" spans="2:25">
      <c r="B13" s="367" t="s">
        <v>197</v>
      </c>
      <c r="C13" s="367"/>
      <c r="D13" s="367"/>
      <c r="E13" s="367"/>
      <c r="F13" s="367"/>
      <c r="G13" s="367"/>
      <c r="H13" s="367"/>
      <c r="I13" s="367"/>
      <c r="J13" s="367"/>
      <c r="K13" s="105">
        <f>K12*K10</f>
        <v>0.58349153984883662</v>
      </c>
      <c r="L13" s="102"/>
      <c r="O13" s="367" t="s">
        <v>197</v>
      </c>
      <c r="P13" s="367"/>
      <c r="Q13" s="367"/>
      <c r="R13" s="367"/>
      <c r="S13" s="367"/>
      <c r="T13" s="367"/>
      <c r="U13" s="367"/>
      <c r="V13" s="367"/>
      <c r="W13" s="367"/>
      <c r="X13" s="109">
        <f>X12*X10</f>
        <v>0.60232722054077836</v>
      </c>
      <c r="Y13" s="102"/>
    </row>
    <row r="15" spans="2:25">
      <c r="B15" s="106">
        <f>skorsing!G89</f>
        <v>75.006</v>
      </c>
      <c r="O15" s="106">
        <f>B15</f>
        <v>75.006</v>
      </c>
    </row>
    <row r="16" spans="2:25">
      <c r="B16" s="101" t="s">
        <v>175</v>
      </c>
      <c r="C16" s="101" t="s">
        <v>176</v>
      </c>
      <c r="D16" s="101" t="s">
        <v>177</v>
      </c>
      <c r="E16" s="101" t="s">
        <v>178</v>
      </c>
      <c r="F16" s="101" t="s">
        <v>179</v>
      </c>
      <c r="G16" s="101" t="s">
        <v>180</v>
      </c>
      <c r="H16" s="101" t="s">
        <v>181</v>
      </c>
      <c r="I16" s="101" t="s">
        <v>182</v>
      </c>
      <c r="J16" s="101" t="s">
        <v>183</v>
      </c>
      <c r="K16" s="101" t="s">
        <v>184</v>
      </c>
      <c r="L16" s="104" t="s">
        <v>185</v>
      </c>
      <c r="O16" s="107" t="s">
        <v>175</v>
      </c>
      <c r="P16" s="107" t="s">
        <v>176</v>
      </c>
      <c r="Q16" s="107" t="s">
        <v>177</v>
      </c>
      <c r="R16" s="107" t="s">
        <v>178</v>
      </c>
      <c r="S16" s="107" t="s">
        <v>179</v>
      </c>
      <c r="T16" s="107" t="s">
        <v>180</v>
      </c>
      <c r="U16" s="107" t="s">
        <v>181</v>
      </c>
      <c r="V16" s="107" t="s">
        <v>182</v>
      </c>
      <c r="W16" s="107" t="s">
        <v>183</v>
      </c>
      <c r="X16" s="107" t="s">
        <v>184</v>
      </c>
      <c r="Y16" s="108" t="s">
        <v>185</v>
      </c>
    </row>
    <row r="17" spans="2:25">
      <c r="B17" s="55" t="s">
        <v>186</v>
      </c>
      <c r="C17" s="54" t="s">
        <v>161</v>
      </c>
      <c r="D17" s="55" t="s">
        <v>187</v>
      </c>
      <c r="E17" s="56">
        <f>skorsing!S107</f>
        <v>0</v>
      </c>
      <c r="F17" s="56">
        <v>1</v>
      </c>
      <c r="G17" s="54">
        <f>3-1</f>
        <v>2</v>
      </c>
      <c r="H17" s="54">
        <f>E17/F17</f>
        <v>0</v>
      </c>
      <c r="I17" s="54">
        <v>1</v>
      </c>
      <c r="J17" s="54">
        <f>H17*I17</f>
        <v>0</v>
      </c>
      <c r="K17" s="54">
        <f>J17^2</f>
        <v>0</v>
      </c>
      <c r="L17" s="54">
        <f>J17^4/G17</f>
        <v>0</v>
      </c>
      <c r="O17" s="55" t="s">
        <v>186</v>
      </c>
      <c r="P17" s="54" t="s">
        <v>161</v>
      </c>
      <c r="Q17" s="55" t="s">
        <v>187</v>
      </c>
      <c r="R17" s="56">
        <f>skorsing!T107</f>
        <v>7.5005999999997172E-2</v>
      </c>
      <c r="S17" s="56">
        <v>1</v>
      </c>
      <c r="T17" s="54">
        <f>3-1</f>
        <v>2</v>
      </c>
      <c r="U17" s="54">
        <f>R17/S17</f>
        <v>7.5005999999997172E-2</v>
      </c>
      <c r="V17" s="54">
        <v>1</v>
      </c>
      <c r="W17" s="54">
        <f>U17*V17</f>
        <v>7.5005999999997172E-2</v>
      </c>
      <c r="X17" s="54">
        <f>W17^2</f>
        <v>5.6259000359995754E-3</v>
      </c>
      <c r="Y17" s="54">
        <f>W17^4/T17</f>
        <v>1.5825375607530012E-5</v>
      </c>
    </row>
    <row r="18" spans="2:25">
      <c r="B18" s="55" t="s">
        <v>188</v>
      </c>
      <c r="C18" s="54" t="s">
        <v>161</v>
      </c>
      <c r="D18" s="55" t="s">
        <v>189</v>
      </c>
      <c r="E18" s="200">
        <f>standar!$L$9*budget!B15</f>
        <v>0.13501079999999999</v>
      </c>
      <c r="F18" s="56">
        <v>2</v>
      </c>
      <c r="G18" s="78">
        <f>1/2*(100/10)^2</f>
        <v>50</v>
      </c>
      <c r="H18" s="54">
        <f t="shared" ref="H18:H20" si="10">E18/F18</f>
        <v>6.7505399999999993E-2</v>
      </c>
      <c r="I18" s="54">
        <v>1</v>
      </c>
      <c r="J18" s="54">
        <f t="shared" ref="J18:J20" si="11">H18*I18</f>
        <v>6.7505399999999993E-2</v>
      </c>
      <c r="K18" s="54">
        <f t="shared" ref="K18:K20" si="12">J18^2</f>
        <v>4.5569790291599991E-3</v>
      </c>
      <c r="L18" s="54">
        <f t="shared" ref="L18:L20" si="13">J18^4/G18</f>
        <v>4.1532115744408016E-7</v>
      </c>
      <c r="O18" s="55" t="s">
        <v>188</v>
      </c>
      <c r="P18" s="54" t="s">
        <v>161</v>
      </c>
      <c r="Q18" s="55" t="s">
        <v>189</v>
      </c>
      <c r="R18" s="200">
        <f>standar!$L$9*budget!O15</f>
        <v>0.13501079999999999</v>
      </c>
      <c r="S18" s="56">
        <v>2</v>
      </c>
      <c r="T18" s="78">
        <f>1/2*(100/10)^2</f>
        <v>50</v>
      </c>
      <c r="U18" s="54">
        <f t="shared" ref="U18:U20" si="14">R18/S18</f>
        <v>6.7505399999999993E-2</v>
      </c>
      <c r="V18" s="54">
        <v>1</v>
      </c>
      <c r="W18" s="54">
        <f t="shared" ref="W18:W20" si="15">U18*V18</f>
        <v>6.7505399999999993E-2</v>
      </c>
      <c r="X18" s="54">
        <f t="shared" ref="X18:X20" si="16">W18^2</f>
        <v>4.5569790291599991E-3</v>
      </c>
      <c r="Y18" s="54">
        <f t="shared" ref="Y18:Y20" si="17">W18^4/T18</f>
        <v>4.1532115744408016E-7</v>
      </c>
    </row>
    <row r="19" spans="2:25">
      <c r="B19" s="55" t="s">
        <v>190</v>
      </c>
      <c r="C19" s="54" t="s">
        <v>161</v>
      </c>
      <c r="D19" s="55" t="s">
        <v>191</v>
      </c>
      <c r="E19" s="54">
        <f>0.5*'input data'!$C$11</f>
        <v>0.5</v>
      </c>
      <c r="F19" s="56">
        <f>SQRT(3)</f>
        <v>1.7320508075688772</v>
      </c>
      <c r="G19" s="78">
        <f t="shared" ref="G19:G20" si="18">1/2*(100/10)^2</f>
        <v>50</v>
      </c>
      <c r="H19" s="54">
        <f t="shared" si="10"/>
        <v>0.28867513459481292</v>
      </c>
      <c r="I19" s="54">
        <v>1</v>
      </c>
      <c r="J19" s="54">
        <f t="shared" si="11"/>
        <v>0.28867513459481292</v>
      </c>
      <c r="K19" s="54">
        <f t="shared" si="12"/>
        <v>8.3333333333333356E-2</v>
      </c>
      <c r="L19" s="54">
        <f t="shared" si="13"/>
        <v>1.3888888888888897E-4</v>
      </c>
      <c r="O19" s="55" t="s">
        <v>190</v>
      </c>
      <c r="P19" s="54" t="s">
        <v>161</v>
      </c>
      <c r="Q19" s="55" t="s">
        <v>191</v>
      </c>
      <c r="R19" s="54">
        <f>0.5*'input data'!$C$11</f>
        <v>0.5</v>
      </c>
      <c r="S19" s="56">
        <f>SQRT(3)</f>
        <v>1.7320508075688772</v>
      </c>
      <c r="T19" s="78">
        <f t="shared" ref="T19:T20" si="19">1/2*(100/10)^2</f>
        <v>50</v>
      </c>
      <c r="U19" s="54">
        <f t="shared" si="14"/>
        <v>0.28867513459481292</v>
      </c>
      <c r="V19" s="54">
        <v>1</v>
      </c>
      <c r="W19" s="54">
        <f t="shared" si="15"/>
        <v>0.28867513459481292</v>
      </c>
      <c r="X19" s="54">
        <f t="shared" si="16"/>
        <v>8.3333333333333356E-2</v>
      </c>
      <c r="Y19" s="54">
        <f t="shared" si="17"/>
        <v>1.3888888888888897E-4</v>
      </c>
    </row>
    <row r="20" spans="2:25">
      <c r="B20" s="55" t="s">
        <v>192</v>
      </c>
      <c r="C20" s="54" t="s">
        <v>161</v>
      </c>
      <c r="D20" s="55" t="s">
        <v>191</v>
      </c>
      <c r="E20" s="54">
        <f>1/2*10%*(0.1%*B15)</f>
        <v>3.7503000000000002E-3</v>
      </c>
      <c r="F20" s="56">
        <f>SQRT(3)</f>
        <v>1.7320508075688772</v>
      </c>
      <c r="G20" s="78">
        <f t="shared" si="18"/>
        <v>50</v>
      </c>
      <c r="H20" s="54">
        <f t="shared" si="10"/>
        <v>2.1652367145418537E-3</v>
      </c>
      <c r="I20" s="54">
        <v>1</v>
      </c>
      <c r="J20" s="54">
        <f t="shared" si="11"/>
        <v>2.1652367145418537E-3</v>
      </c>
      <c r="K20" s="54">
        <f t="shared" si="12"/>
        <v>4.6882500300000007E-6</v>
      </c>
      <c r="L20" s="54">
        <f t="shared" si="13"/>
        <v>4.395937668759002E-13</v>
      </c>
      <c r="O20" s="55" t="s">
        <v>192</v>
      </c>
      <c r="P20" s="54" t="s">
        <v>161</v>
      </c>
      <c r="Q20" s="55" t="s">
        <v>191</v>
      </c>
      <c r="R20" s="54">
        <f>1/2*10%*(0.1%*O15)</f>
        <v>3.7503000000000002E-3</v>
      </c>
      <c r="S20" s="56">
        <f>SQRT(3)</f>
        <v>1.7320508075688772</v>
      </c>
      <c r="T20" s="78">
        <f t="shared" si="19"/>
        <v>50</v>
      </c>
      <c r="U20" s="54">
        <f t="shared" si="14"/>
        <v>2.1652367145418537E-3</v>
      </c>
      <c r="V20" s="54">
        <v>1</v>
      </c>
      <c r="W20" s="54">
        <f t="shared" si="15"/>
        <v>2.1652367145418537E-3</v>
      </c>
      <c r="X20" s="54">
        <f t="shared" si="16"/>
        <v>4.6882500300000007E-6</v>
      </c>
      <c r="Y20" s="54">
        <f t="shared" si="17"/>
        <v>4.395937668759002E-13</v>
      </c>
    </row>
    <row r="21" spans="2:25">
      <c r="B21" s="367" t="s">
        <v>193</v>
      </c>
      <c r="C21" s="367"/>
      <c r="D21" s="367"/>
      <c r="E21" s="367"/>
      <c r="F21" s="367"/>
      <c r="G21" s="367"/>
      <c r="H21" s="367"/>
      <c r="I21" s="367"/>
      <c r="J21" s="367"/>
      <c r="K21" s="55">
        <f>SUM(K17:K20)</f>
        <v>8.7895000612523352E-2</v>
      </c>
      <c r="L21" s="54">
        <f>SUM(L17:L20)</f>
        <v>1.3930421048592682E-4</v>
      </c>
      <c r="O21" s="367" t="s">
        <v>193</v>
      </c>
      <c r="P21" s="367"/>
      <c r="Q21" s="367"/>
      <c r="R21" s="367"/>
      <c r="S21" s="367"/>
      <c r="T21" s="367"/>
      <c r="U21" s="367"/>
      <c r="V21" s="367"/>
      <c r="W21" s="367"/>
      <c r="X21" s="55">
        <f>SUM(X17:X20)</f>
        <v>9.3520900648522934E-2</v>
      </c>
      <c r="Y21" s="54">
        <f>SUM(Y17:Y20)</f>
        <v>1.5512958609345681E-4</v>
      </c>
    </row>
    <row r="22" spans="2:25">
      <c r="B22" s="367" t="s">
        <v>194</v>
      </c>
      <c r="C22" s="367"/>
      <c r="D22" s="367"/>
      <c r="E22" s="367"/>
      <c r="F22" s="367"/>
      <c r="G22" s="367"/>
      <c r="H22" s="367"/>
      <c r="I22" s="367"/>
      <c r="J22" s="367"/>
      <c r="K22" s="55">
        <f>SQRT(K21)</f>
        <v>0.29647091022986277</v>
      </c>
      <c r="L22" s="102"/>
      <c r="O22" s="367" t="s">
        <v>194</v>
      </c>
      <c r="P22" s="367"/>
      <c r="Q22" s="367"/>
      <c r="R22" s="367"/>
      <c r="S22" s="367"/>
      <c r="T22" s="367"/>
      <c r="U22" s="367"/>
      <c r="V22" s="367"/>
      <c r="W22" s="367"/>
      <c r="X22" s="55">
        <f>SQRT(X21)</f>
        <v>0.30581187133354215</v>
      </c>
      <c r="Y22" s="102"/>
    </row>
    <row r="23" spans="2:25">
      <c r="B23" s="367" t="s">
        <v>195</v>
      </c>
      <c r="C23" s="367"/>
      <c r="D23" s="367"/>
      <c r="E23" s="367"/>
      <c r="F23" s="367"/>
      <c r="G23" s="367"/>
      <c r="H23" s="367"/>
      <c r="I23" s="367"/>
      <c r="J23" s="367"/>
      <c r="K23" s="55">
        <f>K22^4/L21</f>
        <v>55.457987276385673</v>
      </c>
      <c r="L23" s="102"/>
      <c r="O23" s="367" t="s">
        <v>195</v>
      </c>
      <c r="P23" s="367"/>
      <c r="Q23" s="367"/>
      <c r="R23" s="367"/>
      <c r="S23" s="367"/>
      <c r="T23" s="367"/>
      <c r="U23" s="367"/>
      <c r="V23" s="367"/>
      <c r="W23" s="367"/>
      <c r="X23" s="55">
        <f>X22^4/Y21</f>
        <v>56.379695700611428</v>
      </c>
      <c r="Y23" s="102"/>
    </row>
    <row r="24" spans="2:25">
      <c r="B24" s="367" t="s">
        <v>196</v>
      </c>
      <c r="C24" s="367"/>
      <c r="D24" s="367"/>
      <c r="E24" s="367"/>
      <c r="F24" s="367"/>
      <c r="G24" s="367"/>
      <c r="H24" s="367"/>
      <c r="I24" s="367"/>
      <c r="J24" s="367"/>
      <c r="K24" s="55">
        <f>TINV(0.05,K23)</f>
        <v>2.0040447832891455</v>
      </c>
      <c r="L24" s="102"/>
      <c r="O24" s="367" t="s">
        <v>196</v>
      </c>
      <c r="P24" s="367"/>
      <c r="Q24" s="367"/>
      <c r="R24" s="367"/>
      <c r="S24" s="367"/>
      <c r="T24" s="367"/>
      <c r="U24" s="367"/>
      <c r="V24" s="367"/>
      <c r="W24" s="367"/>
      <c r="X24" s="55">
        <f>TINV(0.05,X23)</f>
        <v>2.0032407188478727</v>
      </c>
      <c r="Y24" s="102"/>
    </row>
    <row r="25" spans="2:25">
      <c r="B25" s="367" t="s">
        <v>197</v>
      </c>
      <c r="C25" s="367"/>
      <c r="D25" s="367"/>
      <c r="E25" s="367"/>
      <c r="F25" s="367"/>
      <c r="G25" s="367"/>
      <c r="H25" s="367"/>
      <c r="I25" s="367"/>
      <c r="J25" s="367"/>
      <c r="K25" s="105">
        <f>K24*K22</f>
        <v>0.59414098104314106</v>
      </c>
      <c r="L25" s="102"/>
      <c r="O25" s="367" t="s">
        <v>197</v>
      </c>
      <c r="P25" s="367"/>
      <c r="Q25" s="367"/>
      <c r="R25" s="367"/>
      <c r="S25" s="367"/>
      <c r="T25" s="367"/>
      <c r="U25" s="367"/>
      <c r="V25" s="367"/>
      <c r="W25" s="367"/>
      <c r="X25" s="109">
        <f>X24*X22</f>
        <v>0.61261479296241816</v>
      </c>
      <c r="Y25" s="102"/>
    </row>
    <row r="27" spans="2:25">
      <c r="B27" s="106">
        <f>skorsing!G90</f>
        <v>112.509</v>
      </c>
      <c r="O27" s="106">
        <f>B27</f>
        <v>112.509</v>
      </c>
    </row>
    <row r="28" spans="2:25">
      <c r="B28" s="101" t="s">
        <v>175</v>
      </c>
      <c r="C28" s="101" t="s">
        <v>176</v>
      </c>
      <c r="D28" s="101" t="s">
        <v>177</v>
      </c>
      <c r="E28" s="101" t="s">
        <v>178</v>
      </c>
      <c r="F28" s="101" t="s">
        <v>179</v>
      </c>
      <c r="G28" s="101" t="s">
        <v>180</v>
      </c>
      <c r="H28" s="101" t="s">
        <v>181</v>
      </c>
      <c r="I28" s="101" t="s">
        <v>182</v>
      </c>
      <c r="J28" s="101" t="s">
        <v>183</v>
      </c>
      <c r="K28" s="101" t="s">
        <v>184</v>
      </c>
      <c r="L28" s="104" t="s">
        <v>185</v>
      </c>
      <c r="O28" s="107" t="s">
        <v>175</v>
      </c>
      <c r="P28" s="107" t="s">
        <v>176</v>
      </c>
      <c r="Q28" s="107" t="s">
        <v>177</v>
      </c>
      <c r="R28" s="107" t="s">
        <v>178</v>
      </c>
      <c r="S28" s="107" t="s">
        <v>179</v>
      </c>
      <c r="T28" s="107" t="s">
        <v>180</v>
      </c>
      <c r="U28" s="107" t="s">
        <v>181</v>
      </c>
      <c r="V28" s="107" t="s">
        <v>182</v>
      </c>
      <c r="W28" s="107" t="s">
        <v>183</v>
      </c>
      <c r="X28" s="107" t="s">
        <v>184</v>
      </c>
      <c r="Y28" s="108" t="s">
        <v>185</v>
      </c>
    </row>
    <row r="29" spans="2:25">
      <c r="B29" s="55" t="s">
        <v>186</v>
      </c>
      <c r="C29" s="54" t="s">
        <v>161</v>
      </c>
      <c r="D29" s="55" t="s">
        <v>187</v>
      </c>
      <c r="E29" s="56">
        <f>skorsing!S108</f>
        <v>5.0003999999996537E-2</v>
      </c>
      <c r="F29" s="56">
        <v>1</v>
      </c>
      <c r="G29" s="54">
        <f>3-1</f>
        <v>2</v>
      </c>
      <c r="H29" s="54">
        <f>E29/F29</f>
        <v>5.0003999999996537E-2</v>
      </c>
      <c r="I29" s="54">
        <v>1</v>
      </c>
      <c r="J29" s="54">
        <f>H29*I29</f>
        <v>5.0003999999996537E-2</v>
      </c>
      <c r="K29" s="54">
        <f>J29^2</f>
        <v>2.5004000159996537E-3</v>
      </c>
      <c r="L29" s="54">
        <f>J29^4/G29</f>
        <v>3.1260001200055343E-6</v>
      </c>
      <c r="O29" s="55" t="s">
        <v>186</v>
      </c>
      <c r="P29" s="54" t="s">
        <v>161</v>
      </c>
      <c r="Q29" s="55" t="s">
        <v>187</v>
      </c>
      <c r="R29" s="56">
        <f>skorsing!T108</f>
        <v>0</v>
      </c>
      <c r="S29" s="56">
        <v>1</v>
      </c>
      <c r="T29" s="54">
        <f>3-1</f>
        <v>2</v>
      </c>
      <c r="U29" s="54">
        <f>R29/S29</f>
        <v>0</v>
      </c>
      <c r="V29" s="54">
        <v>1</v>
      </c>
      <c r="W29" s="54">
        <f>U29*V29</f>
        <v>0</v>
      </c>
      <c r="X29" s="54">
        <f>W29^2</f>
        <v>0</v>
      </c>
      <c r="Y29" s="54">
        <f>W29^4/T29</f>
        <v>0</v>
      </c>
    </row>
    <row r="30" spans="2:25">
      <c r="B30" s="55" t="s">
        <v>188</v>
      </c>
      <c r="C30" s="54" t="s">
        <v>161</v>
      </c>
      <c r="D30" s="55" t="s">
        <v>189</v>
      </c>
      <c r="E30" s="200">
        <f>standar!$L$9*budget!B27</f>
        <v>0.20251620000000001</v>
      </c>
      <c r="F30" s="56">
        <v>2</v>
      </c>
      <c r="G30" s="78">
        <f>1/2*(100/10)^2</f>
        <v>50</v>
      </c>
      <c r="H30" s="54">
        <f t="shared" ref="H30:H32" si="20">E30/F30</f>
        <v>0.1012581</v>
      </c>
      <c r="I30" s="54">
        <v>1</v>
      </c>
      <c r="J30" s="54">
        <f t="shared" ref="J30:J32" si="21">H30*I30</f>
        <v>0.1012581</v>
      </c>
      <c r="K30" s="54">
        <f t="shared" ref="K30:K32" si="22">J30^2</f>
        <v>1.0253202815610001E-2</v>
      </c>
      <c r="L30" s="54">
        <f t="shared" ref="L30:L32" si="23">J30^4/G30</f>
        <v>2.1025633595606572E-6</v>
      </c>
      <c r="O30" s="55" t="s">
        <v>188</v>
      </c>
      <c r="P30" s="54" t="s">
        <v>161</v>
      </c>
      <c r="Q30" s="55" t="s">
        <v>189</v>
      </c>
      <c r="R30" s="200">
        <f>standar!$L$9*budget!O27</f>
        <v>0.20251620000000001</v>
      </c>
      <c r="S30" s="56">
        <v>2</v>
      </c>
      <c r="T30" s="78">
        <f>1/2*(100/10)^2</f>
        <v>50</v>
      </c>
      <c r="U30" s="54">
        <f t="shared" ref="U30:U32" si="24">R30/S30</f>
        <v>0.1012581</v>
      </c>
      <c r="V30" s="54">
        <v>1</v>
      </c>
      <c r="W30" s="54">
        <f t="shared" ref="W30:W32" si="25">U30*V30</f>
        <v>0.1012581</v>
      </c>
      <c r="X30" s="54">
        <f t="shared" ref="X30:X32" si="26">W30^2</f>
        <v>1.0253202815610001E-2</v>
      </c>
      <c r="Y30" s="54">
        <f t="shared" ref="Y30:Y32" si="27">W30^4/T30</f>
        <v>2.1025633595606572E-6</v>
      </c>
    </row>
    <row r="31" spans="2:25">
      <c r="B31" s="55" t="s">
        <v>190</v>
      </c>
      <c r="C31" s="54" t="s">
        <v>161</v>
      </c>
      <c r="D31" s="55" t="s">
        <v>191</v>
      </c>
      <c r="E31" s="54">
        <f>0.5*'input data'!$C$11</f>
        <v>0.5</v>
      </c>
      <c r="F31" s="56">
        <f>SQRT(3)</f>
        <v>1.7320508075688772</v>
      </c>
      <c r="G31" s="78">
        <f t="shared" ref="G31:G32" si="28">1/2*(100/10)^2</f>
        <v>50</v>
      </c>
      <c r="H31" s="54">
        <f t="shared" si="20"/>
        <v>0.28867513459481292</v>
      </c>
      <c r="I31" s="54">
        <v>1</v>
      </c>
      <c r="J31" s="54">
        <f t="shared" si="21"/>
        <v>0.28867513459481292</v>
      </c>
      <c r="K31" s="54">
        <f t="shared" si="22"/>
        <v>8.3333333333333356E-2</v>
      </c>
      <c r="L31" s="54">
        <f t="shared" si="23"/>
        <v>1.3888888888888897E-4</v>
      </c>
      <c r="O31" s="55" t="s">
        <v>190</v>
      </c>
      <c r="P31" s="54" t="s">
        <v>161</v>
      </c>
      <c r="Q31" s="55" t="s">
        <v>191</v>
      </c>
      <c r="R31" s="54">
        <f>0.5*'input data'!$C$11</f>
        <v>0.5</v>
      </c>
      <c r="S31" s="56">
        <f>SQRT(3)</f>
        <v>1.7320508075688772</v>
      </c>
      <c r="T31" s="78">
        <f t="shared" ref="T31:T32" si="29">1/2*(100/10)^2</f>
        <v>50</v>
      </c>
      <c r="U31" s="54">
        <f t="shared" si="24"/>
        <v>0.28867513459481292</v>
      </c>
      <c r="V31" s="54">
        <v>1</v>
      </c>
      <c r="W31" s="54">
        <f t="shared" si="25"/>
        <v>0.28867513459481292</v>
      </c>
      <c r="X31" s="54">
        <f t="shared" si="26"/>
        <v>8.3333333333333356E-2</v>
      </c>
      <c r="Y31" s="54">
        <f t="shared" si="27"/>
        <v>1.3888888888888897E-4</v>
      </c>
    </row>
    <row r="32" spans="2:25">
      <c r="B32" s="55" t="s">
        <v>192</v>
      </c>
      <c r="C32" s="54" t="s">
        <v>161</v>
      </c>
      <c r="D32" s="55" t="s">
        <v>191</v>
      </c>
      <c r="E32" s="54">
        <f>1/2*10%*(0.1%*B27)</f>
        <v>5.6254500000000006E-3</v>
      </c>
      <c r="F32" s="56">
        <f>SQRT(3)</f>
        <v>1.7320508075688772</v>
      </c>
      <c r="G32" s="78">
        <f t="shared" si="28"/>
        <v>50</v>
      </c>
      <c r="H32" s="54">
        <f t="shared" si="20"/>
        <v>3.247855071812781E-3</v>
      </c>
      <c r="I32" s="54">
        <v>1</v>
      </c>
      <c r="J32" s="54">
        <f t="shared" si="21"/>
        <v>3.247855071812781E-3</v>
      </c>
      <c r="K32" s="54">
        <f t="shared" si="22"/>
        <v>1.0548562567500005E-5</v>
      </c>
      <c r="L32" s="54">
        <f t="shared" si="23"/>
        <v>2.225443444809246E-12</v>
      </c>
      <c r="O32" s="55" t="s">
        <v>192</v>
      </c>
      <c r="P32" s="54" t="s">
        <v>161</v>
      </c>
      <c r="Q32" s="55" t="s">
        <v>191</v>
      </c>
      <c r="R32" s="54">
        <f>1/2*10%*(0.1%*O27)</f>
        <v>5.6254500000000006E-3</v>
      </c>
      <c r="S32" s="56">
        <f>SQRT(3)</f>
        <v>1.7320508075688772</v>
      </c>
      <c r="T32" s="78">
        <f t="shared" si="29"/>
        <v>50</v>
      </c>
      <c r="U32" s="54">
        <f t="shared" si="24"/>
        <v>3.247855071812781E-3</v>
      </c>
      <c r="V32" s="54">
        <v>1</v>
      </c>
      <c r="W32" s="54">
        <f t="shared" si="25"/>
        <v>3.247855071812781E-3</v>
      </c>
      <c r="X32" s="54">
        <f t="shared" si="26"/>
        <v>1.0548562567500005E-5</v>
      </c>
      <c r="Y32" s="54">
        <f t="shared" si="27"/>
        <v>2.225443444809246E-12</v>
      </c>
    </row>
    <row r="33" spans="2:25">
      <c r="B33" s="367" t="s">
        <v>193</v>
      </c>
      <c r="C33" s="367"/>
      <c r="D33" s="367"/>
      <c r="E33" s="367"/>
      <c r="F33" s="367"/>
      <c r="G33" s="367"/>
      <c r="H33" s="367"/>
      <c r="I33" s="367"/>
      <c r="J33" s="367"/>
      <c r="K33" s="55">
        <f>SUM(K29:K32)</f>
        <v>9.6097484727510521E-2</v>
      </c>
      <c r="L33" s="54">
        <f>SUM(L29:L32)</f>
        <v>1.4411745459389861E-4</v>
      </c>
      <c r="O33" s="367" t="s">
        <v>193</v>
      </c>
      <c r="P33" s="367"/>
      <c r="Q33" s="367"/>
      <c r="R33" s="367"/>
      <c r="S33" s="367"/>
      <c r="T33" s="367"/>
      <c r="U33" s="367"/>
      <c r="V33" s="367"/>
      <c r="W33" s="367"/>
      <c r="X33" s="55">
        <f>SUM(X29:X32)</f>
        <v>9.3597084711510861E-2</v>
      </c>
      <c r="Y33" s="54">
        <f>SUM(Y29:Y32)</f>
        <v>1.4099145447389307E-4</v>
      </c>
    </row>
    <row r="34" spans="2:25">
      <c r="B34" s="367" t="s">
        <v>194</v>
      </c>
      <c r="C34" s="367"/>
      <c r="D34" s="367"/>
      <c r="E34" s="367"/>
      <c r="F34" s="367"/>
      <c r="G34" s="367"/>
      <c r="H34" s="367"/>
      <c r="I34" s="367"/>
      <c r="J34" s="367"/>
      <c r="K34" s="55">
        <f>SQRT(K33)</f>
        <v>0.30999594308234185</v>
      </c>
      <c r="L34" s="102"/>
      <c r="O34" s="367" t="s">
        <v>194</v>
      </c>
      <c r="P34" s="367"/>
      <c r="Q34" s="367"/>
      <c r="R34" s="367"/>
      <c r="S34" s="367"/>
      <c r="T34" s="367"/>
      <c r="U34" s="367"/>
      <c r="V34" s="367"/>
      <c r="W34" s="367"/>
      <c r="X34" s="55">
        <f>SQRT(X33)</f>
        <v>0.30593640631920688</v>
      </c>
      <c r="Y34" s="102"/>
    </row>
    <row r="35" spans="2:25">
      <c r="B35" s="367" t="s">
        <v>195</v>
      </c>
      <c r="C35" s="367"/>
      <c r="D35" s="367"/>
      <c r="E35" s="367"/>
      <c r="F35" s="367"/>
      <c r="G35" s="367"/>
      <c r="H35" s="367"/>
      <c r="I35" s="367"/>
      <c r="J35" s="367"/>
      <c r="K35" s="55">
        <f>K34^4/L33</f>
        <v>64.077780147978586</v>
      </c>
      <c r="L35" s="102"/>
      <c r="O35" s="367" t="s">
        <v>195</v>
      </c>
      <c r="P35" s="367"/>
      <c r="Q35" s="367"/>
      <c r="R35" s="367"/>
      <c r="S35" s="367"/>
      <c r="T35" s="367"/>
      <c r="U35" s="367"/>
      <c r="V35" s="367"/>
      <c r="W35" s="367"/>
      <c r="X35" s="55">
        <f>X34^4/Y33</f>
        <v>62.134363385235346</v>
      </c>
      <c r="Y35" s="102"/>
    </row>
    <row r="36" spans="2:25">
      <c r="B36" s="367" t="s">
        <v>196</v>
      </c>
      <c r="C36" s="367"/>
      <c r="D36" s="367"/>
      <c r="E36" s="367"/>
      <c r="F36" s="367"/>
      <c r="G36" s="367"/>
      <c r="H36" s="367"/>
      <c r="I36" s="367"/>
      <c r="J36" s="367"/>
      <c r="K36" s="55">
        <f>TINV(0.05,K35)</f>
        <v>1.9977296543176954</v>
      </c>
      <c r="L36" s="102"/>
      <c r="O36" s="367" t="s">
        <v>196</v>
      </c>
      <c r="P36" s="367"/>
      <c r="Q36" s="367"/>
      <c r="R36" s="367"/>
      <c r="S36" s="367"/>
      <c r="T36" s="367"/>
      <c r="U36" s="367"/>
      <c r="V36" s="367"/>
      <c r="W36" s="367"/>
      <c r="X36" s="55">
        <f>TINV(0.05,X35)</f>
        <v>1.9989715170333793</v>
      </c>
      <c r="Y36" s="102"/>
    </row>
    <row r="37" spans="2:25">
      <c r="B37" s="367" t="s">
        <v>197</v>
      </c>
      <c r="C37" s="367"/>
      <c r="D37" s="367"/>
      <c r="E37" s="367"/>
      <c r="F37" s="367"/>
      <c r="G37" s="367"/>
      <c r="H37" s="367"/>
      <c r="I37" s="367"/>
      <c r="J37" s="367"/>
      <c r="K37" s="105">
        <f>K36*K34</f>
        <v>0.61928808821377479</v>
      </c>
      <c r="L37" s="102"/>
      <c r="O37" s="367" t="s">
        <v>197</v>
      </c>
      <c r="P37" s="367"/>
      <c r="Q37" s="367"/>
      <c r="R37" s="367"/>
      <c r="S37" s="367"/>
      <c r="T37" s="367"/>
      <c r="U37" s="367"/>
      <c r="V37" s="367"/>
      <c r="W37" s="367"/>
      <c r="X37" s="109">
        <f>X36*X34</f>
        <v>0.6115581622556453</v>
      </c>
      <c r="Y37" s="102"/>
    </row>
    <row r="39" spans="2:25">
      <c r="B39" s="106">
        <f>skorsing!G91</f>
        <v>150.012</v>
      </c>
      <c r="O39" s="106">
        <f>B39</f>
        <v>150.012</v>
      </c>
    </row>
    <row r="40" spans="2:25">
      <c r="B40" s="101" t="s">
        <v>175</v>
      </c>
      <c r="C40" s="101" t="s">
        <v>176</v>
      </c>
      <c r="D40" s="101" t="s">
        <v>177</v>
      </c>
      <c r="E40" s="101" t="s">
        <v>178</v>
      </c>
      <c r="F40" s="101" t="s">
        <v>179</v>
      </c>
      <c r="G40" s="101" t="s">
        <v>180</v>
      </c>
      <c r="H40" s="101" t="s">
        <v>181</v>
      </c>
      <c r="I40" s="101" t="s">
        <v>182</v>
      </c>
      <c r="J40" s="101" t="s">
        <v>183</v>
      </c>
      <c r="K40" s="101" t="s">
        <v>184</v>
      </c>
      <c r="L40" s="104" t="s">
        <v>185</v>
      </c>
      <c r="O40" s="107" t="s">
        <v>175</v>
      </c>
      <c r="P40" s="107" t="s">
        <v>176</v>
      </c>
      <c r="Q40" s="107" t="s">
        <v>177</v>
      </c>
      <c r="R40" s="107" t="s">
        <v>178</v>
      </c>
      <c r="S40" s="107" t="s">
        <v>179</v>
      </c>
      <c r="T40" s="107" t="s">
        <v>180</v>
      </c>
      <c r="U40" s="107" t="s">
        <v>181</v>
      </c>
      <c r="V40" s="107" t="s">
        <v>182</v>
      </c>
      <c r="W40" s="107" t="s">
        <v>183</v>
      </c>
      <c r="X40" s="107" t="s">
        <v>184</v>
      </c>
      <c r="Y40" s="108" t="s">
        <v>185</v>
      </c>
    </row>
    <row r="41" spans="2:25">
      <c r="B41" s="55" t="s">
        <v>186</v>
      </c>
      <c r="C41" s="54" t="s">
        <v>161</v>
      </c>
      <c r="D41" s="55" t="s">
        <v>187</v>
      </c>
      <c r="E41" s="56">
        <f>skorsing!S109</f>
        <v>0</v>
      </c>
      <c r="F41" s="56">
        <v>1</v>
      </c>
      <c r="G41" s="54">
        <f>3-1</f>
        <v>2</v>
      </c>
      <c r="H41" s="54">
        <f>E41/F41</f>
        <v>0</v>
      </c>
      <c r="I41" s="54">
        <v>1</v>
      </c>
      <c r="J41" s="54">
        <f>H41*I41</f>
        <v>0</v>
      </c>
      <c r="K41" s="54">
        <f>J41^2</f>
        <v>0</v>
      </c>
      <c r="L41" s="54">
        <f>J41^4/G41</f>
        <v>0</v>
      </c>
      <c r="O41" s="55" t="s">
        <v>186</v>
      </c>
      <c r="P41" s="54" t="s">
        <v>161</v>
      </c>
      <c r="Q41" s="55" t="s">
        <v>187</v>
      </c>
      <c r="R41" s="56">
        <f>skorsing!T109</f>
        <v>2.5002000000000638E-2</v>
      </c>
      <c r="S41" s="56">
        <v>1</v>
      </c>
      <c r="T41" s="54">
        <f>3-1</f>
        <v>2</v>
      </c>
      <c r="U41" s="54">
        <f>R41/S41</f>
        <v>2.5002000000000638E-2</v>
      </c>
      <c r="V41" s="54">
        <v>1</v>
      </c>
      <c r="W41" s="54">
        <f>U41*V41</f>
        <v>2.5002000000000638E-2</v>
      </c>
      <c r="X41" s="54">
        <f>W41^2</f>
        <v>6.2510000400003193E-4</v>
      </c>
      <c r="Y41" s="54">
        <f>W41^4/T41</f>
        <v>1.9537500750041996E-7</v>
      </c>
    </row>
    <row r="42" spans="2:25">
      <c r="B42" s="55" t="s">
        <v>188</v>
      </c>
      <c r="C42" s="54" t="s">
        <v>161</v>
      </c>
      <c r="D42" s="55" t="s">
        <v>189</v>
      </c>
      <c r="E42" s="200">
        <f>standar!$L$9*budget!B39</f>
        <v>0.27002159999999997</v>
      </c>
      <c r="F42" s="56">
        <v>2</v>
      </c>
      <c r="G42" s="78">
        <f>1/2*(100/10)^2</f>
        <v>50</v>
      </c>
      <c r="H42" s="54">
        <f t="shared" ref="H42:H44" si="30">E42/F42</f>
        <v>0.13501079999999999</v>
      </c>
      <c r="I42" s="54">
        <v>1</v>
      </c>
      <c r="J42" s="54">
        <f t="shared" ref="J42:J44" si="31">H42*I42</f>
        <v>0.13501079999999999</v>
      </c>
      <c r="K42" s="54">
        <f t="shared" ref="K42:K44" si="32">J42^2</f>
        <v>1.8227916116639997E-2</v>
      </c>
      <c r="L42" s="54">
        <f t="shared" ref="L42:L44" si="33">J42^4/G42</f>
        <v>6.6451385191052826E-6</v>
      </c>
      <c r="O42" s="55" t="s">
        <v>188</v>
      </c>
      <c r="P42" s="54" t="s">
        <v>161</v>
      </c>
      <c r="Q42" s="55" t="s">
        <v>189</v>
      </c>
      <c r="R42" s="200">
        <f>standar!$L$9*budget!O39</f>
        <v>0.27002159999999997</v>
      </c>
      <c r="S42" s="56">
        <v>2</v>
      </c>
      <c r="T42" s="78">
        <f>1/2*(100/10)^2</f>
        <v>50</v>
      </c>
      <c r="U42" s="54">
        <f t="shared" ref="U42:U44" si="34">R42/S42</f>
        <v>0.13501079999999999</v>
      </c>
      <c r="V42" s="54">
        <v>1</v>
      </c>
      <c r="W42" s="54">
        <f t="shared" ref="W42:W44" si="35">U42*V42</f>
        <v>0.13501079999999999</v>
      </c>
      <c r="X42" s="54">
        <f t="shared" ref="X42:X44" si="36">W42^2</f>
        <v>1.8227916116639997E-2</v>
      </c>
      <c r="Y42" s="54">
        <f t="shared" ref="Y42:Y44" si="37">W42^4/T42</f>
        <v>6.6451385191052826E-6</v>
      </c>
    </row>
    <row r="43" spans="2:25">
      <c r="B43" s="55" t="s">
        <v>190</v>
      </c>
      <c r="C43" s="54" t="s">
        <v>161</v>
      </c>
      <c r="D43" s="55" t="s">
        <v>191</v>
      </c>
      <c r="E43" s="54">
        <f>0.5*'input data'!$C$11</f>
        <v>0.5</v>
      </c>
      <c r="F43" s="56">
        <f>SQRT(3)</f>
        <v>1.7320508075688772</v>
      </c>
      <c r="G43" s="78">
        <f t="shared" ref="G43:G44" si="38">1/2*(100/10)^2</f>
        <v>50</v>
      </c>
      <c r="H43" s="54">
        <f t="shared" si="30"/>
        <v>0.28867513459481292</v>
      </c>
      <c r="I43" s="54">
        <v>1</v>
      </c>
      <c r="J43" s="54">
        <f t="shared" si="31"/>
        <v>0.28867513459481292</v>
      </c>
      <c r="K43" s="54">
        <f t="shared" si="32"/>
        <v>8.3333333333333356E-2</v>
      </c>
      <c r="L43" s="54">
        <f t="shared" si="33"/>
        <v>1.3888888888888897E-4</v>
      </c>
      <c r="O43" s="55" t="s">
        <v>190</v>
      </c>
      <c r="P43" s="54" t="s">
        <v>161</v>
      </c>
      <c r="Q43" s="55" t="s">
        <v>191</v>
      </c>
      <c r="R43" s="54">
        <f>0.5*'input data'!$C$11</f>
        <v>0.5</v>
      </c>
      <c r="S43" s="56">
        <f>SQRT(3)</f>
        <v>1.7320508075688772</v>
      </c>
      <c r="T43" s="78">
        <f t="shared" ref="T43:T44" si="39">1/2*(100/10)^2</f>
        <v>50</v>
      </c>
      <c r="U43" s="54">
        <f t="shared" si="34"/>
        <v>0.28867513459481292</v>
      </c>
      <c r="V43" s="54">
        <v>1</v>
      </c>
      <c r="W43" s="54">
        <f t="shared" si="35"/>
        <v>0.28867513459481292</v>
      </c>
      <c r="X43" s="54">
        <f t="shared" si="36"/>
        <v>8.3333333333333356E-2</v>
      </c>
      <c r="Y43" s="54">
        <f t="shared" si="37"/>
        <v>1.3888888888888897E-4</v>
      </c>
    </row>
    <row r="44" spans="2:25">
      <c r="B44" s="55" t="s">
        <v>192</v>
      </c>
      <c r="C44" s="54" t="s">
        <v>161</v>
      </c>
      <c r="D44" s="55" t="s">
        <v>191</v>
      </c>
      <c r="E44" s="54">
        <f>1/2*10%*(0.1%*B39)</f>
        <v>7.5006000000000005E-3</v>
      </c>
      <c r="F44" s="56">
        <f>SQRT(3)</f>
        <v>1.7320508075688772</v>
      </c>
      <c r="G44" s="78">
        <f t="shared" si="38"/>
        <v>50</v>
      </c>
      <c r="H44" s="54">
        <f t="shared" si="30"/>
        <v>4.3304734290837074E-3</v>
      </c>
      <c r="I44" s="54">
        <v>1</v>
      </c>
      <c r="J44" s="54">
        <f t="shared" si="31"/>
        <v>4.3304734290837074E-3</v>
      </c>
      <c r="K44" s="54">
        <f t="shared" si="32"/>
        <v>1.8753000120000003E-5</v>
      </c>
      <c r="L44" s="54">
        <f t="shared" si="33"/>
        <v>7.0335002700144031E-12</v>
      </c>
      <c r="O44" s="55" t="s">
        <v>192</v>
      </c>
      <c r="P44" s="54" t="s">
        <v>161</v>
      </c>
      <c r="Q44" s="55" t="s">
        <v>191</v>
      </c>
      <c r="R44" s="54">
        <f>1/2*10%*(0.1%*O39)</f>
        <v>7.5006000000000005E-3</v>
      </c>
      <c r="S44" s="56">
        <f>SQRT(3)</f>
        <v>1.7320508075688772</v>
      </c>
      <c r="T44" s="78">
        <f t="shared" si="39"/>
        <v>50</v>
      </c>
      <c r="U44" s="54">
        <f t="shared" si="34"/>
        <v>4.3304734290837074E-3</v>
      </c>
      <c r="V44" s="54">
        <v>1</v>
      </c>
      <c r="W44" s="54">
        <f t="shared" si="35"/>
        <v>4.3304734290837074E-3</v>
      </c>
      <c r="X44" s="54">
        <f t="shared" si="36"/>
        <v>1.8753000120000003E-5</v>
      </c>
      <c r="Y44" s="54">
        <f t="shared" si="37"/>
        <v>7.0335002700144031E-12</v>
      </c>
    </row>
    <row r="45" spans="2:25">
      <c r="B45" s="367" t="s">
        <v>193</v>
      </c>
      <c r="C45" s="367"/>
      <c r="D45" s="367"/>
      <c r="E45" s="367"/>
      <c r="F45" s="367"/>
      <c r="G45" s="367"/>
      <c r="H45" s="367"/>
      <c r="I45" s="367"/>
      <c r="J45" s="367"/>
      <c r="K45" s="55">
        <f>SUM(K41:K44)</f>
        <v>0.10158000245009335</v>
      </c>
      <c r="L45" s="54">
        <f>SUM(L41:L44)</f>
        <v>1.4553403444149453E-4</v>
      </c>
      <c r="O45" s="367" t="s">
        <v>193</v>
      </c>
      <c r="P45" s="367"/>
      <c r="Q45" s="367"/>
      <c r="R45" s="367"/>
      <c r="S45" s="367"/>
      <c r="T45" s="367"/>
      <c r="U45" s="367"/>
      <c r="V45" s="367"/>
      <c r="W45" s="367"/>
      <c r="X45" s="55">
        <f>SUM(X41:X44)</f>
        <v>0.10220510245409338</v>
      </c>
      <c r="Y45" s="54">
        <f>SUM(Y41:Y44)</f>
        <v>1.4572940944899496E-4</v>
      </c>
    </row>
    <row r="46" spans="2:25">
      <c r="B46" s="367" t="s">
        <v>194</v>
      </c>
      <c r="C46" s="367"/>
      <c r="D46" s="367"/>
      <c r="E46" s="367"/>
      <c r="F46" s="367"/>
      <c r="G46" s="367"/>
      <c r="H46" s="367"/>
      <c r="I46" s="367"/>
      <c r="J46" s="367"/>
      <c r="K46" s="55">
        <f>SQRT(K45)</f>
        <v>0.31871617851953071</v>
      </c>
      <c r="L46" s="102"/>
      <c r="O46" s="367" t="s">
        <v>194</v>
      </c>
      <c r="P46" s="367"/>
      <c r="Q46" s="367"/>
      <c r="R46" s="367"/>
      <c r="S46" s="367"/>
      <c r="T46" s="367"/>
      <c r="U46" s="367"/>
      <c r="V46" s="367"/>
      <c r="W46" s="367"/>
      <c r="X46" s="55">
        <f>SQRT(X45)</f>
        <v>0.31969532754498209</v>
      </c>
      <c r="Y46" s="102"/>
    </row>
    <row r="47" spans="2:25">
      <c r="B47" s="367" t="s">
        <v>195</v>
      </c>
      <c r="C47" s="367"/>
      <c r="D47" s="367"/>
      <c r="E47" s="367"/>
      <c r="F47" s="367"/>
      <c r="G47" s="367"/>
      <c r="H47" s="367"/>
      <c r="I47" s="367"/>
      <c r="J47" s="367"/>
      <c r="K47" s="55">
        <f>K46^4/L45</f>
        <v>70.900919756395993</v>
      </c>
      <c r="L47" s="102"/>
      <c r="O47" s="367" t="s">
        <v>195</v>
      </c>
      <c r="P47" s="367"/>
      <c r="Q47" s="367"/>
      <c r="R47" s="367"/>
      <c r="S47" s="367"/>
      <c r="T47" s="367"/>
      <c r="U47" s="367"/>
      <c r="V47" s="367"/>
      <c r="W47" s="367"/>
      <c r="X47" s="55">
        <f>X46^4/Y45</f>
        <v>71.679992440426147</v>
      </c>
      <c r="Y47" s="102"/>
    </row>
    <row r="48" spans="2:25">
      <c r="B48" s="367" t="s">
        <v>196</v>
      </c>
      <c r="C48" s="367"/>
      <c r="D48" s="367"/>
      <c r="E48" s="367"/>
      <c r="F48" s="367"/>
      <c r="G48" s="367"/>
      <c r="H48" s="367"/>
      <c r="I48" s="367"/>
      <c r="J48" s="367"/>
      <c r="K48" s="55">
        <f>TINV(0.05,K47)</f>
        <v>1.9944371117711854</v>
      </c>
      <c r="L48" s="102"/>
      <c r="O48" s="367" t="s">
        <v>196</v>
      </c>
      <c r="P48" s="367"/>
      <c r="Q48" s="367"/>
      <c r="R48" s="367"/>
      <c r="S48" s="367"/>
      <c r="T48" s="367"/>
      <c r="U48" s="367"/>
      <c r="V48" s="367"/>
      <c r="W48" s="367"/>
      <c r="X48" s="55">
        <f>TINV(0.05,X47)</f>
        <v>1.9939433678456266</v>
      </c>
      <c r="Y48" s="102"/>
    </row>
    <row r="49" spans="2:25">
      <c r="B49" s="367" t="s">
        <v>197</v>
      </c>
      <c r="C49" s="367"/>
      <c r="D49" s="367"/>
      <c r="E49" s="367"/>
      <c r="F49" s="367"/>
      <c r="G49" s="367"/>
      <c r="H49" s="367"/>
      <c r="I49" s="367"/>
      <c r="J49" s="367"/>
      <c r="K49" s="105">
        <f>K48*K46</f>
        <v>0.63565937456124233</v>
      </c>
      <c r="L49" s="102"/>
      <c r="O49" s="367" t="s">
        <v>197</v>
      </c>
      <c r="P49" s="367"/>
      <c r="Q49" s="367"/>
      <c r="R49" s="367"/>
      <c r="S49" s="367"/>
      <c r="T49" s="367"/>
      <c r="U49" s="367"/>
      <c r="V49" s="367"/>
      <c r="W49" s="367"/>
      <c r="X49" s="109">
        <f>X48*X46</f>
        <v>0.6374543780895523</v>
      </c>
      <c r="Y49" s="102"/>
    </row>
    <row r="51" spans="2:25">
      <c r="B51" s="106">
        <f>skorsing!G92</f>
        <v>187.51500000000001</v>
      </c>
      <c r="O51" s="106">
        <f>B51</f>
        <v>187.51500000000001</v>
      </c>
    </row>
    <row r="52" spans="2:25">
      <c r="B52" s="101" t="s">
        <v>175</v>
      </c>
      <c r="C52" s="101" t="s">
        <v>176</v>
      </c>
      <c r="D52" s="101" t="s">
        <v>177</v>
      </c>
      <c r="E52" s="101" t="s">
        <v>178</v>
      </c>
      <c r="F52" s="101" t="s">
        <v>179</v>
      </c>
      <c r="G52" s="101" t="s">
        <v>180</v>
      </c>
      <c r="H52" s="101" t="s">
        <v>181</v>
      </c>
      <c r="I52" s="101" t="s">
        <v>182</v>
      </c>
      <c r="J52" s="101" t="s">
        <v>183</v>
      </c>
      <c r="K52" s="101" t="s">
        <v>184</v>
      </c>
      <c r="L52" s="104" t="s">
        <v>185</v>
      </c>
      <c r="O52" s="107" t="s">
        <v>175</v>
      </c>
      <c r="P52" s="107" t="s">
        <v>176</v>
      </c>
      <c r="Q52" s="107" t="s">
        <v>177</v>
      </c>
      <c r="R52" s="107" t="s">
        <v>178</v>
      </c>
      <c r="S52" s="107" t="s">
        <v>179</v>
      </c>
      <c r="T52" s="107" t="s">
        <v>180</v>
      </c>
      <c r="U52" s="107" t="s">
        <v>181</v>
      </c>
      <c r="V52" s="107" t="s">
        <v>182</v>
      </c>
      <c r="W52" s="107" t="s">
        <v>183</v>
      </c>
      <c r="X52" s="107" t="s">
        <v>184</v>
      </c>
      <c r="Y52" s="108" t="s">
        <v>185</v>
      </c>
    </row>
    <row r="53" spans="2:25">
      <c r="B53" s="55" t="s">
        <v>186</v>
      </c>
      <c r="C53" s="54" t="s">
        <v>161</v>
      </c>
      <c r="D53" s="55" t="s">
        <v>187</v>
      </c>
      <c r="E53" s="56">
        <f>skorsing!S110</f>
        <v>2.0097183471152319E-14</v>
      </c>
      <c r="F53" s="56">
        <v>1</v>
      </c>
      <c r="G53" s="54">
        <f>3-1</f>
        <v>2</v>
      </c>
      <c r="H53" s="54">
        <f>E53/F53</f>
        <v>2.0097183471152319E-14</v>
      </c>
      <c r="I53" s="54">
        <v>1</v>
      </c>
      <c r="J53" s="54">
        <f>H53*I53</f>
        <v>2.0097183471152319E-14</v>
      </c>
      <c r="K53" s="54">
        <f>J53^2</f>
        <v>4.0389678347315795E-28</v>
      </c>
      <c r="L53" s="54">
        <f>J53^4/G53</f>
        <v>8.156630584998152E-56</v>
      </c>
      <c r="O53" s="55" t="s">
        <v>186</v>
      </c>
      <c r="P53" s="54" t="s">
        <v>161</v>
      </c>
      <c r="Q53" s="55" t="s">
        <v>187</v>
      </c>
      <c r="R53" s="56">
        <f>skorsing!T110</f>
        <v>0.17501400000000444</v>
      </c>
      <c r="S53" s="56">
        <v>1</v>
      </c>
      <c r="T53" s="54">
        <f>3-1</f>
        <v>2</v>
      </c>
      <c r="U53" s="54">
        <f>R53/S53</f>
        <v>0.17501400000000444</v>
      </c>
      <c r="V53" s="54">
        <v>1</v>
      </c>
      <c r="W53" s="54">
        <f>U53*V53</f>
        <v>0.17501400000000444</v>
      </c>
      <c r="X53" s="54">
        <f>W53^2</f>
        <v>3.0629900196001557E-2</v>
      </c>
      <c r="Y53" s="54">
        <f>W53^4/T53</f>
        <v>4.6909539300850811E-4</v>
      </c>
    </row>
    <row r="54" spans="2:25">
      <c r="B54" s="55" t="s">
        <v>188</v>
      </c>
      <c r="C54" s="54" t="s">
        <v>161</v>
      </c>
      <c r="D54" s="55" t="s">
        <v>189</v>
      </c>
      <c r="E54" s="200">
        <f>standar!$L$9*budget!B51</f>
        <v>0.33752700000000002</v>
      </c>
      <c r="F54" s="56">
        <v>2</v>
      </c>
      <c r="G54" s="78">
        <f>1/2*(100/10)^2</f>
        <v>50</v>
      </c>
      <c r="H54" s="54">
        <f t="shared" ref="H54:H56" si="40">E54/F54</f>
        <v>0.16876350000000001</v>
      </c>
      <c r="I54" s="54">
        <v>1</v>
      </c>
      <c r="J54" s="54">
        <f t="shared" ref="J54:J56" si="41">H54*I54</f>
        <v>0.16876350000000001</v>
      </c>
      <c r="K54" s="54">
        <f t="shared" ref="K54:K56" si="42">J54^2</f>
        <v>2.8481118932250003E-2</v>
      </c>
      <c r="L54" s="54">
        <f t="shared" ref="L54:L56" si="43">J54^4/G54</f>
        <v>1.6223482712659389E-5</v>
      </c>
      <c r="O54" s="55" t="s">
        <v>188</v>
      </c>
      <c r="P54" s="54" t="s">
        <v>161</v>
      </c>
      <c r="Q54" s="55" t="s">
        <v>189</v>
      </c>
      <c r="R54" s="200">
        <f>standar!$L$9*budget!O51</f>
        <v>0.33752700000000002</v>
      </c>
      <c r="S54" s="56">
        <v>2</v>
      </c>
      <c r="T54" s="78">
        <f>1/2*(100/10)^2</f>
        <v>50</v>
      </c>
      <c r="U54" s="54">
        <f t="shared" ref="U54:U56" si="44">R54/S54</f>
        <v>0.16876350000000001</v>
      </c>
      <c r="V54" s="54">
        <v>1</v>
      </c>
      <c r="W54" s="54">
        <f t="shared" ref="W54:W56" si="45">U54*V54</f>
        <v>0.16876350000000001</v>
      </c>
      <c r="X54" s="54">
        <f t="shared" ref="X54:X56" si="46">W54^2</f>
        <v>2.8481118932250003E-2</v>
      </c>
      <c r="Y54" s="54">
        <f t="shared" ref="Y54:Y56" si="47">W54^4/T54</f>
        <v>1.6223482712659389E-5</v>
      </c>
    </row>
    <row r="55" spans="2:25">
      <c r="B55" s="55" t="s">
        <v>190</v>
      </c>
      <c r="C55" s="54" t="s">
        <v>161</v>
      </c>
      <c r="D55" s="55" t="s">
        <v>191</v>
      </c>
      <c r="E55" s="54">
        <f>0.5*'input data'!$C$11</f>
        <v>0.5</v>
      </c>
      <c r="F55" s="56">
        <f>SQRT(3)</f>
        <v>1.7320508075688772</v>
      </c>
      <c r="G55" s="78">
        <f t="shared" ref="G55:G56" si="48">1/2*(100/10)^2</f>
        <v>50</v>
      </c>
      <c r="H55" s="54">
        <f t="shared" si="40"/>
        <v>0.28867513459481292</v>
      </c>
      <c r="I55" s="54">
        <v>1</v>
      </c>
      <c r="J55" s="54">
        <f t="shared" si="41"/>
        <v>0.28867513459481292</v>
      </c>
      <c r="K55" s="54">
        <f t="shared" si="42"/>
        <v>8.3333333333333356E-2</v>
      </c>
      <c r="L55" s="54">
        <f t="shared" si="43"/>
        <v>1.3888888888888897E-4</v>
      </c>
      <c r="O55" s="55" t="s">
        <v>190</v>
      </c>
      <c r="P55" s="54" t="s">
        <v>161</v>
      </c>
      <c r="Q55" s="55" t="s">
        <v>191</v>
      </c>
      <c r="R55" s="54">
        <f>0.5*'input data'!$C$11</f>
        <v>0.5</v>
      </c>
      <c r="S55" s="56">
        <f>SQRT(3)</f>
        <v>1.7320508075688772</v>
      </c>
      <c r="T55" s="78">
        <f t="shared" ref="T55:T56" si="49">1/2*(100/10)^2</f>
        <v>50</v>
      </c>
      <c r="U55" s="54">
        <f t="shared" si="44"/>
        <v>0.28867513459481292</v>
      </c>
      <c r="V55" s="54">
        <v>1</v>
      </c>
      <c r="W55" s="54">
        <f t="shared" si="45"/>
        <v>0.28867513459481292</v>
      </c>
      <c r="X55" s="54">
        <f t="shared" si="46"/>
        <v>8.3333333333333356E-2</v>
      </c>
      <c r="Y55" s="54">
        <f t="shared" si="47"/>
        <v>1.3888888888888897E-4</v>
      </c>
    </row>
    <row r="56" spans="2:25">
      <c r="B56" s="55" t="s">
        <v>192</v>
      </c>
      <c r="C56" s="54" t="s">
        <v>161</v>
      </c>
      <c r="D56" s="55" t="s">
        <v>191</v>
      </c>
      <c r="E56" s="54">
        <f>1/2*10%*(0.1%*B51)</f>
        <v>9.3757500000000021E-3</v>
      </c>
      <c r="F56" s="56">
        <f>SQRT(3)</f>
        <v>1.7320508075688772</v>
      </c>
      <c r="G56" s="78">
        <f t="shared" si="48"/>
        <v>50</v>
      </c>
      <c r="H56" s="54">
        <f t="shared" si="40"/>
        <v>5.4130917863546351E-3</v>
      </c>
      <c r="I56" s="54">
        <v>1</v>
      </c>
      <c r="J56" s="54">
        <f t="shared" si="41"/>
        <v>5.4130917863546351E-3</v>
      </c>
      <c r="K56" s="54">
        <f t="shared" si="42"/>
        <v>2.9301562687500014E-5</v>
      </c>
      <c r="L56" s="54">
        <f t="shared" si="43"/>
        <v>1.7171631518589862E-11</v>
      </c>
      <c r="O56" s="55" t="s">
        <v>192</v>
      </c>
      <c r="P56" s="54" t="s">
        <v>161</v>
      </c>
      <c r="Q56" s="55" t="s">
        <v>191</v>
      </c>
      <c r="R56" s="54">
        <f>1/2*10%*(0.1%*O51)</f>
        <v>9.3757500000000021E-3</v>
      </c>
      <c r="S56" s="56">
        <f>SQRT(3)</f>
        <v>1.7320508075688772</v>
      </c>
      <c r="T56" s="78">
        <f t="shared" si="49"/>
        <v>50</v>
      </c>
      <c r="U56" s="54">
        <f t="shared" si="44"/>
        <v>5.4130917863546351E-3</v>
      </c>
      <c r="V56" s="54">
        <v>1</v>
      </c>
      <c r="W56" s="54">
        <f t="shared" si="45"/>
        <v>5.4130917863546351E-3</v>
      </c>
      <c r="X56" s="54">
        <f t="shared" si="46"/>
        <v>2.9301562687500014E-5</v>
      </c>
      <c r="Y56" s="54">
        <f t="shared" si="47"/>
        <v>1.7171631518589862E-11</v>
      </c>
    </row>
    <row r="57" spans="2:25">
      <c r="B57" s="367" t="s">
        <v>193</v>
      </c>
      <c r="C57" s="367"/>
      <c r="D57" s="367"/>
      <c r="E57" s="367"/>
      <c r="F57" s="367"/>
      <c r="G57" s="367"/>
      <c r="H57" s="367"/>
      <c r="I57" s="367"/>
      <c r="J57" s="367"/>
      <c r="K57" s="55">
        <f>SUM(K53:K56)</f>
        <v>0.11184375382827086</v>
      </c>
      <c r="L57" s="54">
        <f>SUM(L53:L56)</f>
        <v>1.5511238877317988E-4</v>
      </c>
      <c r="O57" s="367" t="s">
        <v>193</v>
      </c>
      <c r="P57" s="367"/>
      <c r="Q57" s="367"/>
      <c r="R57" s="367"/>
      <c r="S57" s="367"/>
      <c r="T57" s="367"/>
      <c r="U57" s="367"/>
      <c r="V57" s="367"/>
      <c r="W57" s="367"/>
      <c r="X57" s="55">
        <f>SUM(X53:X56)</f>
        <v>0.14247365402427242</v>
      </c>
      <c r="Y57" s="54">
        <f>SUM(Y53:Y56)</f>
        <v>6.2420778178168799E-4</v>
      </c>
    </row>
    <row r="58" spans="2:25">
      <c r="B58" s="367" t="s">
        <v>194</v>
      </c>
      <c r="C58" s="367"/>
      <c r="D58" s="367"/>
      <c r="E58" s="367"/>
      <c r="F58" s="367"/>
      <c r="G58" s="367"/>
      <c r="H58" s="367"/>
      <c r="I58" s="367"/>
      <c r="J58" s="367"/>
      <c r="K58" s="55">
        <f>SQRT(K57)</f>
        <v>0.33443049177410672</v>
      </c>
      <c r="L58" s="102"/>
      <c r="O58" s="367" t="s">
        <v>194</v>
      </c>
      <c r="P58" s="367"/>
      <c r="Q58" s="367"/>
      <c r="R58" s="367"/>
      <c r="S58" s="367"/>
      <c r="T58" s="367"/>
      <c r="U58" s="367"/>
      <c r="V58" s="367"/>
      <c r="W58" s="367"/>
      <c r="X58" s="55">
        <f>SQRT(X57)</f>
        <v>0.37745682405312586</v>
      </c>
      <c r="Y58" s="102"/>
    </row>
    <row r="59" spans="2:25">
      <c r="B59" s="367" t="s">
        <v>195</v>
      </c>
      <c r="C59" s="367"/>
      <c r="D59" s="367"/>
      <c r="E59" s="367"/>
      <c r="F59" s="367"/>
      <c r="G59" s="367"/>
      <c r="H59" s="367"/>
      <c r="I59" s="367"/>
      <c r="J59" s="367"/>
      <c r="K59" s="55">
        <f>K58^4/L57</f>
        <v>80.644914112506783</v>
      </c>
      <c r="L59" s="102"/>
      <c r="O59" s="367" t="s">
        <v>195</v>
      </c>
      <c r="P59" s="367"/>
      <c r="Q59" s="367"/>
      <c r="R59" s="367"/>
      <c r="S59" s="367"/>
      <c r="T59" s="367"/>
      <c r="U59" s="367"/>
      <c r="V59" s="367"/>
      <c r="W59" s="367"/>
      <c r="X59" s="55">
        <f>X58^4/Y57</f>
        <v>32.519207038862923</v>
      </c>
      <c r="Y59" s="102"/>
    </row>
    <row r="60" spans="2:25">
      <c r="B60" s="367" t="s">
        <v>196</v>
      </c>
      <c r="C60" s="367"/>
      <c r="D60" s="367"/>
      <c r="E60" s="367"/>
      <c r="F60" s="367"/>
      <c r="G60" s="367"/>
      <c r="H60" s="367"/>
      <c r="I60" s="367"/>
      <c r="J60" s="367"/>
      <c r="K60" s="55">
        <f>TINV(0.05,K59)</f>
        <v>1.9900634212544475</v>
      </c>
      <c r="L60" s="102"/>
      <c r="O60" s="367" t="s">
        <v>196</v>
      </c>
      <c r="P60" s="367"/>
      <c r="Q60" s="367"/>
      <c r="R60" s="367"/>
      <c r="S60" s="367"/>
      <c r="T60" s="367"/>
      <c r="U60" s="367"/>
      <c r="V60" s="367"/>
      <c r="W60" s="367"/>
      <c r="X60" s="55">
        <f>TINV(0.05,X59)</f>
        <v>2.0369333434601011</v>
      </c>
      <c r="Y60" s="102"/>
    </row>
    <row r="61" spans="2:25">
      <c r="B61" s="367" t="s">
        <v>197</v>
      </c>
      <c r="C61" s="367"/>
      <c r="D61" s="367"/>
      <c r="E61" s="367"/>
      <c r="F61" s="367"/>
      <c r="G61" s="367"/>
      <c r="H61" s="367"/>
      <c r="I61" s="367"/>
      <c r="J61" s="367"/>
      <c r="K61" s="105">
        <f>K60*K58</f>
        <v>0.6655378886317862</v>
      </c>
      <c r="L61" s="102"/>
      <c r="O61" s="367" t="s">
        <v>197</v>
      </c>
      <c r="P61" s="367"/>
      <c r="Q61" s="367"/>
      <c r="R61" s="367"/>
      <c r="S61" s="367"/>
      <c r="T61" s="367"/>
      <c r="U61" s="367"/>
      <c r="V61" s="367"/>
      <c r="W61" s="367"/>
      <c r="X61" s="109">
        <f>X60*X58</f>
        <v>0.76885439063036476</v>
      </c>
      <c r="Y61" s="102"/>
    </row>
    <row r="63" spans="2:25">
      <c r="B63" s="106">
        <f>skorsing!G93</f>
        <v>225.018</v>
      </c>
      <c r="O63" s="106">
        <f>B63</f>
        <v>225.018</v>
      </c>
    </row>
    <row r="64" spans="2:25">
      <c r="B64" s="101" t="s">
        <v>175</v>
      </c>
      <c r="C64" s="101" t="s">
        <v>176</v>
      </c>
      <c r="D64" s="101" t="s">
        <v>177</v>
      </c>
      <c r="E64" s="101" t="s">
        <v>178</v>
      </c>
      <c r="F64" s="101" t="s">
        <v>179</v>
      </c>
      <c r="G64" s="101" t="s">
        <v>180</v>
      </c>
      <c r="H64" s="101" t="s">
        <v>181</v>
      </c>
      <c r="I64" s="101" t="s">
        <v>182</v>
      </c>
      <c r="J64" s="101" t="s">
        <v>183</v>
      </c>
      <c r="K64" s="101" t="s">
        <v>184</v>
      </c>
      <c r="L64" s="104" t="s">
        <v>185</v>
      </c>
      <c r="O64" s="107" t="s">
        <v>175</v>
      </c>
      <c r="P64" s="107" t="s">
        <v>176</v>
      </c>
      <c r="Q64" s="107" t="s">
        <v>177</v>
      </c>
      <c r="R64" s="107" t="s">
        <v>178</v>
      </c>
      <c r="S64" s="107" t="s">
        <v>179</v>
      </c>
      <c r="T64" s="107" t="s">
        <v>180</v>
      </c>
      <c r="U64" s="107" t="s">
        <v>181</v>
      </c>
      <c r="V64" s="107" t="s">
        <v>182</v>
      </c>
      <c r="W64" s="107" t="s">
        <v>183</v>
      </c>
      <c r="X64" s="107" t="s">
        <v>184</v>
      </c>
      <c r="Y64" s="108" t="s">
        <v>185</v>
      </c>
    </row>
    <row r="65" spans="2:25">
      <c r="B65" s="55" t="s">
        <v>186</v>
      </c>
      <c r="C65" s="54" t="s">
        <v>161</v>
      </c>
      <c r="D65" s="55" t="s">
        <v>187</v>
      </c>
      <c r="E65" s="56">
        <f>skorsing!S111</f>
        <v>0</v>
      </c>
      <c r="F65" s="56">
        <v>1</v>
      </c>
      <c r="G65" s="54">
        <f>3-1</f>
        <v>2</v>
      </c>
      <c r="H65" s="54">
        <f>E65/F65</f>
        <v>0</v>
      </c>
      <c r="I65" s="54">
        <v>1</v>
      </c>
      <c r="J65" s="54">
        <f>H65*I65</f>
        <v>0</v>
      </c>
      <c r="K65" s="54">
        <f>J65^2</f>
        <v>0</v>
      </c>
      <c r="L65" s="54">
        <f>J65^4/G65</f>
        <v>0</v>
      </c>
      <c r="O65" s="55" t="s">
        <v>186</v>
      </c>
      <c r="P65" s="54" t="s">
        <v>161</v>
      </c>
      <c r="Q65" s="55" t="s">
        <v>187</v>
      </c>
      <c r="R65" s="56">
        <f>skorsing!T111</f>
        <v>0</v>
      </c>
      <c r="S65" s="56">
        <v>1</v>
      </c>
      <c r="T65" s="54">
        <f>3-1</f>
        <v>2</v>
      </c>
      <c r="U65" s="54">
        <f>R65/S65</f>
        <v>0</v>
      </c>
      <c r="V65" s="54">
        <v>1</v>
      </c>
      <c r="W65" s="54">
        <f>U65*V65</f>
        <v>0</v>
      </c>
      <c r="X65" s="54">
        <f>W65^2</f>
        <v>0</v>
      </c>
      <c r="Y65" s="54">
        <f>W65^4/T65</f>
        <v>0</v>
      </c>
    </row>
    <row r="66" spans="2:25">
      <c r="B66" s="55" t="s">
        <v>188</v>
      </c>
      <c r="C66" s="54" t="s">
        <v>161</v>
      </c>
      <c r="D66" s="55" t="s">
        <v>189</v>
      </c>
      <c r="E66" s="200">
        <f>standar!$L$9*budget!B63</f>
        <v>0.40503240000000001</v>
      </c>
      <c r="F66" s="56">
        <v>2</v>
      </c>
      <c r="G66" s="78">
        <f>1/2*(100/10)^2</f>
        <v>50</v>
      </c>
      <c r="H66" s="54">
        <f t="shared" ref="H66:H68" si="50">E66/F66</f>
        <v>0.20251620000000001</v>
      </c>
      <c r="I66" s="54">
        <v>1</v>
      </c>
      <c r="J66" s="54">
        <f t="shared" ref="J66:J68" si="51">H66*I66</f>
        <v>0.20251620000000001</v>
      </c>
      <c r="K66" s="54">
        <f t="shared" ref="K66:K68" si="52">J66^2</f>
        <v>4.1012811262440003E-2</v>
      </c>
      <c r="L66" s="54">
        <f t="shared" ref="L66:L68" si="53">J66^4/G66</f>
        <v>3.3641013752970515E-5</v>
      </c>
      <c r="O66" s="55" t="s">
        <v>188</v>
      </c>
      <c r="P66" s="54" t="s">
        <v>161</v>
      </c>
      <c r="Q66" s="55" t="s">
        <v>189</v>
      </c>
      <c r="R66" s="200">
        <f>standar!$L$9*budget!O63</f>
        <v>0.40503240000000001</v>
      </c>
      <c r="S66" s="56">
        <v>2</v>
      </c>
      <c r="T66" s="78">
        <f>1/2*(100/10)^2</f>
        <v>50</v>
      </c>
      <c r="U66" s="54">
        <f t="shared" ref="U66:U68" si="54">R66/S66</f>
        <v>0.20251620000000001</v>
      </c>
      <c r="V66" s="54">
        <v>1</v>
      </c>
      <c r="W66" s="54">
        <f t="shared" ref="W66:W68" si="55">U66*V66</f>
        <v>0.20251620000000001</v>
      </c>
      <c r="X66" s="54">
        <f t="shared" ref="X66:X68" si="56">W66^2</f>
        <v>4.1012811262440003E-2</v>
      </c>
      <c r="Y66" s="54">
        <f t="shared" ref="Y66:Y68" si="57">W66^4/T66</f>
        <v>3.3641013752970515E-5</v>
      </c>
    </row>
    <row r="67" spans="2:25">
      <c r="B67" s="55" t="s">
        <v>190</v>
      </c>
      <c r="C67" s="54" t="s">
        <v>161</v>
      </c>
      <c r="D67" s="55" t="s">
        <v>191</v>
      </c>
      <c r="E67" s="54">
        <f>0.5*'input data'!$C$11</f>
        <v>0.5</v>
      </c>
      <c r="F67" s="56">
        <f>SQRT(3)</f>
        <v>1.7320508075688772</v>
      </c>
      <c r="G67" s="78">
        <f t="shared" ref="G67:G68" si="58">1/2*(100/10)^2</f>
        <v>50</v>
      </c>
      <c r="H67" s="54">
        <f t="shared" si="50"/>
        <v>0.28867513459481292</v>
      </c>
      <c r="I67" s="54">
        <v>1</v>
      </c>
      <c r="J67" s="54">
        <f t="shared" si="51"/>
        <v>0.28867513459481292</v>
      </c>
      <c r="K67" s="54">
        <f t="shared" si="52"/>
        <v>8.3333333333333356E-2</v>
      </c>
      <c r="L67" s="54">
        <f t="shared" si="53"/>
        <v>1.3888888888888897E-4</v>
      </c>
      <c r="O67" s="55" t="s">
        <v>190</v>
      </c>
      <c r="P67" s="54" t="s">
        <v>161</v>
      </c>
      <c r="Q67" s="55" t="s">
        <v>191</v>
      </c>
      <c r="R67" s="54">
        <f>0.5*'input data'!$C$11</f>
        <v>0.5</v>
      </c>
      <c r="S67" s="56">
        <f>SQRT(3)</f>
        <v>1.7320508075688772</v>
      </c>
      <c r="T67" s="78">
        <f t="shared" ref="T67:T68" si="59">1/2*(100/10)^2</f>
        <v>50</v>
      </c>
      <c r="U67" s="54">
        <f t="shared" si="54"/>
        <v>0.28867513459481292</v>
      </c>
      <c r="V67" s="54">
        <v>1</v>
      </c>
      <c r="W67" s="54">
        <f t="shared" si="55"/>
        <v>0.28867513459481292</v>
      </c>
      <c r="X67" s="54">
        <f t="shared" si="56"/>
        <v>8.3333333333333356E-2</v>
      </c>
      <c r="Y67" s="54">
        <f t="shared" si="57"/>
        <v>1.3888888888888897E-4</v>
      </c>
    </row>
    <row r="68" spans="2:25">
      <c r="B68" s="55" t="s">
        <v>192</v>
      </c>
      <c r="C68" s="54" t="s">
        <v>161</v>
      </c>
      <c r="D68" s="55" t="s">
        <v>191</v>
      </c>
      <c r="E68" s="54">
        <f>1/2*10%*(0.1%*B63)</f>
        <v>1.1250900000000001E-2</v>
      </c>
      <c r="F68" s="56">
        <f>SQRT(3)</f>
        <v>1.7320508075688772</v>
      </c>
      <c r="G68" s="78">
        <f t="shared" si="58"/>
        <v>50</v>
      </c>
      <c r="H68" s="54">
        <f t="shared" si="50"/>
        <v>6.495710143625562E-3</v>
      </c>
      <c r="I68" s="54">
        <v>1</v>
      </c>
      <c r="J68" s="54">
        <f t="shared" si="51"/>
        <v>6.495710143625562E-3</v>
      </c>
      <c r="K68" s="54">
        <f t="shared" si="52"/>
        <v>4.2194250270000019E-5</v>
      </c>
      <c r="L68" s="54">
        <f t="shared" si="53"/>
        <v>3.5607095116947936E-11</v>
      </c>
      <c r="O68" s="55" t="s">
        <v>192</v>
      </c>
      <c r="P68" s="54" t="s">
        <v>161</v>
      </c>
      <c r="Q68" s="55" t="s">
        <v>191</v>
      </c>
      <c r="R68" s="54">
        <f>1/2*10%*(0.1%*O63)</f>
        <v>1.1250900000000001E-2</v>
      </c>
      <c r="S68" s="56">
        <f>SQRT(3)</f>
        <v>1.7320508075688772</v>
      </c>
      <c r="T68" s="78">
        <f t="shared" si="59"/>
        <v>50</v>
      </c>
      <c r="U68" s="54">
        <f t="shared" si="54"/>
        <v>6.495710143625562E-3</v>
      </c>
      <c r="V68" s="54">
        <v>1</v>
      </c>
      <c r="W68" s="54">
        <f t="shared" si="55"/>
        <v>6.495710143625562E-3</v>
      </c>
      <c r="X68" s="54">
        <f t="shared" si="56"/>
        <v>4.2194250270000019E-5</v>
      </c>
      <c r="Y68" s="54">
        <f t="shared" si="57"/>
        <v>3.5607095116947936E-11</v>
      </c>
    </row>
    <row r="69" spans="2:25">
      <c r="B69" s="367" t="s">
        <v>193</v>
      </c>
      <c r="C69" s="367"/>
      <c r="D69" s="367"/>
      <c r="E69" s="367"/>
      <c r="F69" s="367"/>
      <c r="G69" s="367"/>
      <c r="H69" s="367"/>
      <c r="I69" s="367"/>
      <c r="J69" s="367"/>
      <c r="K69" s="55">
        <f>SUM(K65:K68)</f>
        <v>0.12438833884604336</v>
      </c>
      <c r="L69" s="54">
        <f>SUM(L65:L68)</f>
        <v>1.7252993824895462E-4</v>
      </c>
      <c r="O69" s="367" t="s">
        <v>193</v>
      </c>
      <c r="P69" s="367"/>
      <c r="Q69" s="367"/>
      <c r="R69" s="367"/>
      <c r="S69" s="367"/>
      <c r="T69" s="367"/>
      <c r="U69" s="367"/>
      <c r="V69" s="367"/>
      <c r="W69" s="367"/>
      <c r="X69" s="55">
        <f>SUM(X65:X68)</f>
        <v>0.12438833884604336</v>
      </c>
      <c r="Y69" s="54">
        <f>SUM(Y65:Y68)</f>
        <v>1.7252993824895462E-4</v>
      </c>
    </row>
    <row r="70" spans="2:25">
      <c r="B70" s="367" t="s">
        <v>194</v>
      </c>
      <c r="C70" s="367"/>
      <c r="D70" s="367"/>
      <c r="E70" s="367"/>
      <c r="F70" s="367"/>
      <c r="G70" s="367"/>
      <c r="H70" s="367"/>
      <c r="I70" s="367"/>
      <c r="J70" s="367"/>
      <c r="K70" s="55">
        <f>SQRT(K69)</f>
        <v>0.35268731029914213</v>
      </c>
      <c r="L70" s="102"/>
      <c r="O70" s="367" t="s">
        <v>194</v>
      </c>
      <c r="P70" s="367"/>
      <c r="Q70" s="367"/>
      <c r="R70" s="367"/>
      <c r="S70" s="367"/>
      <c r="T70" s="367"/>
      <c r="U70" s="367"/>
      <c r="V70" s="367"/>
      <c r="W70" s="367"/>
      <c r="X70" s="55">
        <f>SQRT(X69)</f>
        <v>0.35268731029914213</v>
      </c>
      <c r="Y70" s="102"/>
    </row>
    <row r="71" spans="2:25">
      <c r="B71" s="367" t="s">
        <v>195</v>
      </c>
      <c r="C71" s="367"/>
      <c r="D71" s="367"/>
      <c r="E71" s="367"/>
      <c r="F71" s="367"/>
      <c r="G71" s="367"/>
      <c r="H71" s="367"/>
      <c r="I71" s="367"/>
      <c r="J71" s="367"/>
      <c r="K71" s="55">
        <f>K70^4/L69</f>
        <v>89.679849178128649</v>
      </c>
      <c r="L71" s="102"/>
      <c r="O71" s="367" t="s">
        <v>195</v>
      </c>
      <c r="P71" s="367"/>
      <c r="Q71" s="367"/>
      <c r="R71" s="367"/>
      <c r="S71" s="367"/>
      <c r="T71" s="367"/>
      <c r="U71" s="367"/>
      <c r="V71" s="367"/>
      <c r="W71" s="367"/>
      <c r="X71" s="55">
        <f>X70^4/Y69</f>
        <v>89.679849178128649</v>
      </c>
      <c r="Y71" s="102"/>
    </row>
    <row r="72" spans="2:25">
      <c r="B72" s="367" t="s">
        <v>196</v>
      </c>
      <c r="C72" s="367"/>
      <c r="D72" s="367"/>
      <c r="E72" s="367"/>
      <c r="F72" s="367"/>
      <c r="G72" s="367"/>
      <c r="H72" s="367"/>
      <c r="I72" s="367"/>
      <c r="J72" s="367"/>
      <c r="K72" s="55">
        <f>TINV(0.05,K71)</f>
        <v>1.986978699506285</v>
      </c>
      <c r="L72" s="102"/>
      <c r="O72" s="367" t="s">
        <v>196</v>
      </c>
      <c r="P72" s="367"/>
      <c r="Q72" s="367"/>
      <c r="R72" s="367"/>
      <c r="S72" s="367"/>
      <c r="T72" s="367"/>
      <c r="U72" s="367"/>
      <c r="V72" s="367"/>
      <c r="W72" s="367"/>
      <c r="X72" s="55">
        <f>TINV(0.05,X71)</f>
        <v>1.986978699506285</v>
      </c>
      <c r="Y72" s="102"/>
    </row>
    <row r="73" spans="2:25">
      <c r="B73" s="367" t="s">
        <v>197</v>
      </c>
      <c r="C73" s="367"/>
      <c r="D73" s="367"/>
      <c r="E73" s="367"/>
      <c r="F73" s="367"/>
      <c r="G73" s="367"/>
      <c r="H73" s="367"/>
      <c r="I73" s="367"/>
      <c r="J73" s="367"/>
      <c r="K73" s="105">
        <f>K72*K70</f>
        <v>0.70078217315055902</v>
      </c>
      <c r="L73" s="102"/>
      <c r="O73" s="367" t="s">
        <v>197</v>
      </c>
      <c r="P73" s="367"/>
      <c r="Q73" s="367"/>
      <c r="R73" s="367"/>
      <c r="S73" s="367"/>
      <c r="T73" s="367"/>
      <c r="U73" s="367"/>
      <c r="V73" s="367"/>
      <c r="W73" s="367"/>
      <c r="X73" s="109">
        <f>X72*X70</f>
        <v>0.70078217315055902</v>
      </c>
      <c r="Y73" s="102"/>
    </row>
  </sheetData>
  <mergeCells count="62">
    <mergeCell ref="O70:W70"/>
    <mergeCell ref="O71:W71"/>
    <mergeCell ref="O72:W72"/>
    <mergeCell ref="O73:W73"/>
    <mergeCell ref="O57:W57"/>
    <mergeCell ref="O58:W58"/>
    <mergeCell ref="O59:W59"/>
    <mergeCell ref="O60:W60"/>
    <mergeCell ref="O61:W61"/>
    <mergeCell ref="O69:W69"/>
    <mergeCell ref="O49:W49"/>
    <mergeCell ref="O1:Y1"/>
    <mergeCell ref="O21:W21"/>
    <mergeCell ref="O22:W22"/>
    <mergeCell ref="O23:W23"/>
    <mergeCell ref="O24:W24"/>
    <mergeCell ref="O25:W25"/>
    <mergeCell ref="O37:W37"/>
    <mergeCell ref="O45:W45"/>
    <mergeCell ref="O46:W46"/>
    <mergeCell ref="O47:W47"/>
    <mergeCell ref="O48:W48"/>
    <mergeCell ref="B73:J73"/>
    <mergeCell ref="O9:W9"/>
    <mergeCell ref="O10:W10"/>
    <mergeCell ref="O11:W11"/>
    <mergeCell ref="O12:W12"/>
    <mergeCell ref="O13:W13"/>
    <mergeCell ref="O33:W33"/>
    <mergeCell ref="O34:W34"/>
    <mergeCell ref="O35:W35"/>
    <mergeCell ref="O36:W36"/>
    <mergeCell ref="B60:J60"/>
    <mergeCell ref="B61:J61"/>
    <mergeCell ref="B69:J69"/>
    <mergeCell ref="B70:J70"/>
    <mergeCell ref="B71:J71"/>
    <mergeCell ref="B72:J72"/>
    <mergeCell ref="B59:J59"/>
    <mergeCell ref="B34:J34"/>
    <mergeCell ref="B35:J35"/>
    <mergeCell ref="B36:J36"/>
    <mergeCell ref="B37:J37"/>
    <mergeCell ref="B45:J45"/>
    <mergeCell ref="B46:J46"/>
    <mergeCell ref="B47:J47"/>
    <mergeCell ref="B48:J48"/>
    <mergeCell ref="B49:J49"/>
    <mergeCell ref="B57:J57"/>
    <mergeCell ref="B58:J58"/>
    <mergeCell ref="B1:L1"/>
    <mergeCell ref="B33:J33"/>
    <mergeCell ref="B9:J9"/>
    <mergeCell ref="B10:J10"/>
    <mergeCell ref="B11:J11"/>
    <mergeCell ref="B12:J12"/>
    <mergeCell ref="B13:J13"/>
    <mergeCell ref="B21:J21"/>
    <mergeCell ref="B22:J22"/>
    <mergeCell ref="B23:J23"/>
    <mergeCell ref="B24:J24"/>
    <mergeCell ref="B25:J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381D8-0E20-4C34-BBCC-49CB9D7A6B65}">
  <dimension ref="B1:U82"/>
  <sheetViews>
    <sheetView topLeftCell="A16" zoomScale="115" zoomScaleNormal="115" workbookViewId="0">
      <selection activeCell="D40" sqref="D40:F41"/>
    </sheetView>
  </sheetViews>
  <sheetFormatPr defaultRowHeight="15"/>
  <cols>
    <col min="1" max="1" width="5.42578125" style="111" customWidth="1"/>
    <col min="2" max="2" width="5" style="111" customWidth="1"/>
    <col min="3" max="3" width="17" style="111" customWidth="1"/>
    <col min="4" max="4" width="25" style="111" customWidth="1"/>
    <col min="5" max="5" width="21.85546875" style="111" customWidth="1"/>
    <col min="6" max="6" width="19" style="111" customWidth="1"/>
    <col min="7" max="7" width="18.42578125" style="111" bestFit="1" customWidth="1"/>
    <col min="8" max="8" width="10.140625" style="111" customWidth="1"/>
    <col min="9" max="9" width="15.28515625" style="111" customWidth="1"/>
    <col min="10" max="10" width="10.140625" style="111" customWidth="1"/>
    <col min="11" max="13" width="9.140625" style="111"/>
    <col min="14" max="14" width="15" style="111" customWidth="1"/>
    <col min="15" max="16384" width="9.140625" style="111"/>
  </cols>
  <sheetData>
    <row r="1" spans="2:11">
      <c r="B1" s="16"/>
      <c r="C1" s="16"/>
      <c r="D1" s="16"/>
      <c r="E1" s="16"/>
      <c r="F1" s="16"/>
      <c r="G1" s="16"/>
      <c r="H1" s="16"/>
      <c r="I1" s="16"/>
    </row>
    <row r="2" spans="2:11">
      <c r="B2" s="16"/>
      <c r="C2" s="265" t="s">
        <v>89</v>
      </c>
      <c r="D2" s="265"/>
      <c r="E2" s="265"/>
      <c r="F2" s="265"/>
      <c r="G2" s="265"/>
      <c r="H2" s="265"/>
      <c r="I2" s="50"/>
    </row>
    <row r="3" spans="2:11">
      <c r="B3" s="16"/>
      <c r="C3" s="51"/>
      <c r="D3" s="51"/>
      <c r="E3" s="51"/>
      <c r="F3" s="51"/>
      <c r="G3" s="17"/>
      <c r="H3" s="51"/>
      <c r="I3" s="51"/>
    </row>
    <row r="4" spans="2:11">
      <c r="B4" s="37" t="s">
        <v>88</v>
      </c>
      <c r="C4" s="15"/>
      <c r="D4" s="48"/>
      <c r="E4" s="48"/>
      <c r="F4" s="48"/>
      <c r="G4" s="48"/>
      <c r="H4" s="48"/>
      <c r="I4" s="48"/>
    </row>
    <row r="5" spans="2:11">
      <c r="B5" s="16"/>
      <c r="C5" s="18" t="s">
        <v>222</v>
      </c>
      <c r="D5" s="145" t="str">
        <f>skorsing!H6</f>
        <v>PT. Bumi Indah Putra</v>
      </c>
      <c r="E5" s="18" t="s">
        <v>75</v>
      </c>
      <c r="F5" s="224">
        <f>skorsing!C11</f>
        <v>1</v>
      </c>
      <c r="G5" s="226"/>
    </row>
    <row r="6" spans="2:11">
      <c r="B6" s="16"/>
      <c r="C6" s="18" t="s">
        <v>85</v>
      </c>
      <c r="D6" s="145" t="str">
        <f>skorsing!C6</f>
        <v>Phaco Emulsifikasi</v>
      </c>
      <c r="E6" s="18" t="s">
        <v>221</v>
      </c>
      <c r="F6" s="224"/>
      <c r="G6" s="226"/>
    </row>
    <row r="7" spans="2:11">
      <c r="B7" s="16"/>
      <c r="C7" s="18"/>
      <c r="D7" s="145"/>
      <c r="E7" s="18" t="s">
        <v>220</v>
      </c>
      <c r="F7" s="224" t="str">
        <f>skorsing!H7</f>
        <v>lab</v>
      </c>
      <c r="G7" s="226"/>
    </row>
    <row r="8" spans="2:11">
      <c r="B8" s="16"/>
      <c r="C8" s="18" t="s">
        <v>83</v>
      </c>
      <c r="D8" s="145" t="str">
        <f>skorsing!C7</f>
        <v>MD</v>
      </c>
      <c r="E8" s="16" t="s">
        <v>219</v>
      </c>
      <c r="F8" s="224">
        <f>skorsing!H8</f>
        <v>46246</v>
      </c>
      <c r="G8" s="226"/>
    </row>
    <row r="9" spans="2:11">
      <c r="B9" s="16"/>
      <c r="C9" s="18" t="s">
        <v>81</v>
      </c>
      <c r="D9" s="145" t="str">
        <f>skorsing!C8</f>
        <v>MD-480A</v>
      </c>
      <c r="E9" s="18" t="s">
        <v>218</v>
      </c>
      <c r="F9" s="224">
        <f>skorsing!H9</f>
        <v>46246</v>
      </c>
      <c r="G9" s="226"/>
    </row>
    <row r="10" spans="2:11">
      <c r="B10" s="16"/>
      <c r="C10" s="18" t="s">
        <v>79</v>
      </c>
      <c r="D10" s="145">
        <f>skorsing!C9</f>
        <v>1213</v>
      </c>
      <c r="E10" s="18" t="s">
        <v>217</v>
      </c>
      <c r="F10" s="224" t="str">
        <f>skorsing!H10</f>
        <v>el</v>
      </c>
      <c r="G10" s="226"/>
    </row>
    <row r="11" spans="2:11">
      <c r="B11" s="16"/>
      <c r="C11" s="18"/>
      <c r="D11" s="47"/>
      <c r="E11" s="16"/>
      <c r="F11" s="16"/>
      <c r="G11" s="16"/>
      <c r="H11" s="16"/>
      <c r="I11" s="16"/>
      <c r="J11" s="18"/>
      <c r="K11" s="16"/>
    </row>
    <row r="12" spans="2:11">
      <c r="B12" s="16"/>
      <c r="C12" s="18"/>
      <c r="D12" s="47"/>
      <c r="E12" s="16"/>
      <c r="F12" s="18"/>
      <c r="G12" s="18"/>
      <c r="H12" s="46"/>
      <c r="I12" s="16"/>
      <c r="J12" s="18"/>
      <c r="K12" s="16"/>
    </row>
    <row r="13" spans="2:11">
      <c r="B13" s="19" t="s">
        <v>73</v>
      </c>
      <c r="C13" s="15"/>
      <c r="D13" s="17"/>
      <c r="E13" s="45"/>
      <c r="F13" s="28"/>
      <c r="G13" s="17"/>
      <c r="H13" s="16"/>
      <c r="I13" s="16"/>
      <c r="J13" s="18"/>
      <c r="K13" s="16"/>
    </row>
    <row r="14" spans="2:11">
      <c r="B14" s="143" t="s">
        <v>21</v>
      </c>
      <c r="C14" s="385" t="s">
        <v>72</v>
      </c>
      <c r="D14" s="386"/>
      <c r="E14" s="144" t="s">
        <v>71</v>
      </c>
      <c r="F14" s="143" t="s">
        <v>216</v>
      </c>
      <c r="G14" s="134" t="s">
        <v>69</v>
      </c>
      <c r="H14" s="16"/>
      <c r="I14" s="16"/>
    </row>
    <row r="15" spans="2:11">
      <c r="B15" s="43">
        <v>1</v>
      </c>
      <c r="C15" s="227" t="str">
        <f>skorsing!C15</f>
        <v>Digital Pressure Meter</v>
      </c>
      <c r="D15" s="229"/>
      <c r="E15" s="142" t="str">
        <f>skorsing!F15</f>
        <v>Netech</v>
      </c>
      <c r="F15" s="142" t="str">
        <f>skorsing!G15</f>
        <v>Digimano 2500</v>
      </c>
      <c r="G15" s="142">
        <f>skorsing!H15</f>
        <v>40947</v>
      </c>
      <c r="H15" s="16"/>
      <c r="I15" s="16"/>
    </row>
    <row r="16" spans="2:11">
      <c r="B16" s="23">
        <v>2</v>
      </c>
      <c r="C16" s="227" t="str">
        <f>skorsing!C16</f>
        <v>Electrical Safety Analyzer</v>
      </c>
      <c r="D16" s="229"/>
      <c r="E16" s="142" t="str">
        <f>skorsing!F16</f>
        <v>Fluke Biomedical</v>
      </c>
      <c r="F16" s="142" t="str">
        <f>skorsing!G16</f>
        <v>ESA612</v>
      </c>
      <c r="G16" s="142">
        <f>skorsing!H16</f>
        <v>6579027</v>
      </c>
      <c r="H16" s="16"/>
      <c r="I16" s="16"/>
    </row>
    <row r="17" spans="2:9">
      <c r="B17" s="23">
        <v>3</v>
      </c>
      <c r="C17" s="227" t="str">
        <f>skorsing!C17</f>
        <v>Thermohygrometer</v>
      </c>
      <c r="D17" s="229"/>
      <c r="E17" s="142" t="str">
        <f>skorsing!F17</f>
        <v>Taffware</v>
      </c>
      <c r="F17" s="142" t="str">
        <f>skorsing!G17</f>
        <v>HTC-1</v>
      </c>
      <c r="G17" s="142" t="str">
        <f>skorsing!H17</f>
        <v>TH-01</v>
      </c>
      <c r="H17" s="16"/>
      <c r="I17" s="16"/>
    </row>
    <row r="18" spans="2:9">
      <c r="H18" s="16"/>
      <c r="I18" s="16"/>
    </row>
    <row r="19" spans="2:9">
      <c r="B19" s="16"/>
      <c r="C19" s="19"/>
      <c r="D19" s="17"/>
      <c r="E19" s="45"/>
      <c r="F19" s="28"/>
      <c r="G19" s="17"/>
      <c r="H19" s="16"/>
      <c r="I19" s="16"/>
    </row>
    <row r="20" spans="2:9">
      <c r="B20" s="37" t="s">
        <v>62</v>
      </c>
      <c r="C20" s="15"/>
      <c r="D20" s="16"/>
      <c r="E20" s="16"/>
      <c r="F20" s="16"/>
      <c r="G20" s="36"/>
      <c r="H20" s="16"/>
      <c r="I20" s="18"/>
    </row>
    <row r="21" spans="2:9">
      <c r="B21" s="16"/>
      <c r="C21" s="141" t="s">
        <v>61</v>
      </c>
      <c r="D21" s="140" t="s">
        <v>120</v>
      </c>
      <c r="E21" s="139" t="s">
        <v>133</v>
      </c>
    </row>
    <row r="22" spans="2:9">
      <c r="B22" s="16"/>
      <c r="C22" s="138" t="s">
        <v>58</v>
      </c>
      <c r="D22" s="137">
        <f>skorsing!G22</f>
        <v>26.088195005945298</v>
      </c>
      <c r="E22" s="137">
        <f>skorsing!H22</f>
        <v>0.5</v>
      </c>
    </row>
    <row r="23" spans="2:9">
      <c r="B23" s="16"/>
      <c r="C23" s="7" t="s">
        <v>56</v>
      </c>
      <c r="D23" s="137">
        <f>skorsing!G23</f>
        <v>55.69109090909091</v>
      </c>
      <c r="E23" s="137">
        <f>skorsing!H23</f>
        <v>2.7</v>
      </c>
    </row>
    <row r="24" spans="2:9">
      <c r="B24" s="16"/>
      <c r="C24" s="7" t="str">
        <f>[5]skorsing!B24</f>
        <v>Tegangan</v>
      </c>
      <c r="D24" s="137">
        <f>skorsing!G24</f>
        <v>231.63429330787622</v>
      </c>
      <c r="E24" s="73"/>
    </row>
    <row r="25" spans="2:9">
      <c r="B25" s="16"/>
      <c r="C25" s="17"/>
      <c r="D25" s="28"/>
      <c r="E25" s="17"/>
      <c r="F25" s="17"/>
      <c r="G25" s="17"/>
      <c r="H25" s="16"/>
      <c r="I25" s="16"/>
    </row>
    <row r="26" spans="2:9">
      <c r="B26" s="19" t="s">
        <v>48</v>
      </c>
      <c r="C26" s="15"/>
      <c r="D26" s="28"/>
      <c r="E26" s="17"/>
      <c r="F26" s="17"/>
      <c r="G26" s="17"/>
      <c r="H26" s="16"/>
      <c r="I26" s="16"/>
    </row>
    <row r="27" spans="2:9">
      <c r="B27" s="19"/>
      <c r="C27" s="136" t="s">
        <v>47</v>
      </c>
      <c r="D27" s="387" t="s">
        <v>46</v>
      </c>
      <c r="E27" s="388"/>
      <c r="F27" s="389"/>
      <c r="G27" s="136" t="s">
        <v>45</v>
      </c>
      <c r="H27" s="16"/>
      <c r="I27" s="16"/>
    </row>
    <row r="28" spans="2:9" ht="15" customHeight="1">
      <c r="B28" s="19"/>
      <c r="C28" s="278" t="str">
        <f>skorsing!B31</f>
        <v>Badan Permukaan</v>
      </c>
      <c r="D28" s="378" t="str">
        <f>skorsing!C31</f>
        <v>periksa bagian luar unit, pastikan bersih, terpasang ketat satu dan lainnya dan tidak ada bekas tertimpa cairan ataupun gangguan lainnya.</v>
      </c>
      <c r="E28" s="379"/>
      <c r="F28" s="380"/>
      <c r="G28" s="278" t="str">
        <f>IF(skorsing!H31=1,"BAIK","TIDAK BAIK")</f>
        <v>BAIK</v>
      </c>
      <c r="H28" s="16"/>
      <c r="I28" s="16"/>
    </row>
    <row r="29" spans="2:9">
      <c r="B29" s="19"/>
      <c r="C29" s="278"/>
      <c r="D29" s="381"/>
      <c r="E29" s="382"/>
      <c r="F29" s="383"/>
      <c r="G29" s="278"/>
      <c r="H29" s="16"/>
      <c r="I29" s="16"/>
    </row>
    <row r="30" spans="2:9" ht="15" customHeight="1">
      <c r="B30" s="19"/>
      <c r="C30" s="278" t="str">
        <f>skorsing!B35</f>
        <v>Kotak kontak alat</v>
      </c>
      <c r="D30" s="378" t="str">
        <f>skorsing!C35</f>
        <v>Periksa apakah ada gangguan pada tusuk kontak (AC-Power). Gerak-gerakkan kotak kontak untuk memastikan keamanannya. Goyang-goyangkan kotak kontak untuk memastikan tidak ada baut atau mur yang longgar</v>
      </c>
      <c r="E30" s="379"/>
      <c r="F30" s="380"/>
      <c r="G30" s="278" t="str">
        <f>IF(skorsing!H35=1,"BAIK","TIDAK BAIK")</f>
        <v>BAIK</v>
      </c>
      <c r="H30" s="16"/>
      <c r="I30" s="16"/>
    </row>
    <row r="31" spans="2:9">
      <c r="B31" s="19"/>
      <c r="C31" s="278"/>
      <c r="D31" s="381"/>
      <c r="E31" s="382"/>
      <c r="F31" s="383"/>
      <c r="G31" s="278"/>
      <c r="H31" s="16"/>
      <c r="I31" s="16"/>
    </row>
    <row r="32" spans="2:9" ht="15" customHeight="1">
      <c r="B32" s="19"/>
      <c r="C32" s="278" t="str">
        <f>skorsing!B39</f>
        <v>Kabel Catu Utama</v>
      </c>
      <c r="D32" s="378" t="str">
        <f>skorsing!C39</f>
        <v>Periksa kabel, apakah terlihat ada kerusakan atau bagian isolasi yang terkelupas.</v>
      </c>
      <c r="E32" s="379"/>
      <c r="F32" s="380"/>
      <c r="G32" s="278" t="str">
        <f>IF(skorsing!H39=1,"BAIK","TIDAK BAIK")</f>
        <v>BAIK</v>
      </c>
      <c r="H32" s="16"/>
      <c r="I32" s="16"/>
    </row>
    <row r="33" spans="2:9">
      <c r="B33" s="19"/>
      <c r="C33" s="278"/>
      <c r="D33" s="381"/>
      <c r="E33" s="382"/>
      <c r="F33" s="383"/>
      <c r="G33" s="278"/>
      <c r="H33" s="16"/>
      <c r="I33" s="16"/>
    </row>
    <row r="34" spans="2:9" ht="15" customHeight="1">
      <c r="B34" s="28"/>
      <c r="C34" s="278" t="str">
        <f>skorsing!B41</f>
        <v>Tombol saklar dan kontrol</v>
      </c>
      <c r="D34" s="378" t="str">
        <f>skorsing!C41</f>
        <v>sebelum mempergunakan/mengubah-ubah tombol kontrol, periksa posisinya, jika terlihat tidak berada pada posisinya (periksa dengan menggunakan mode pemeriksaan standar). Bandingkan dengan posisi control. Ingat peraturan tersebut dan jangan lupa untuk mengembalikan pada setting awal jika sudah selesai menggunakan</v>
      </c>
      <c r="E34" s="379"/>
      <c r="F34" s="380"/>
      <c r="G34" s="278" t="str">
        <f>IF(skorsing!H41=1,"BAIK","TIDAK BAIK")</f>
        <v>BAIK</v>
      </c>
      <c r="H34" s="16"/>
      <c r="I34" s="16"/>
    </row>
    <row r="35" spans="2:9">
      <c r="B35" s="28"/>
      <c r="C35" s="278"/>
      <c r="D35" s="381"/>
      <c r="E35" s="382"/>
      <c r="F35" s="383"/>
      <c r="G35" s="278"/>
      <c r="H35" s="16"/>
      <c r="I35" s="16"/>
    </row>
    <row r="36" spans="2:9" ht="15" customHeight="1">
      <c r="B36" s="28"/>
      <c r="C36" s="377" t="str">
        <f>skorsing!B45</f>
        <v>Tampilan dan indicator</v>
      </c>
      <c r="D36" s="376" t="str">
        <f>skorsing!C45</f>
        <v>Selama pengecekan fungsi, pastikan lampu indicator dan tampilan layar berfungsi baik.</v>
      </c>
      <c r="E36" s="376"/>
      <c r="F36" s="376"/>
      <c r="G36" s="278" t="str">
        <f>IF(skorsing!H45=1,"BAIK","TIDAK BAIK")</f>
        <v>BAIK</v>
      </c>
      <c r="H36" s="16"/>
      <c r="I36" s="16"/>
    </row>
    <row r="37" spans="2:9">
      <c r="B37" s="28"/>
      <c r="C37" s="377"/>
      <c r="D37" s="376"/>
      <c r="E37" s="376"/>
      <c r="F37" s="376"/>
      <c r="G37" s="278"/>
      <c r="H37" s="16"/>
      <c r="I37" s="16"/>
    </row>
    <row r="38" spans="2:9" ht="15.75" customHeight="1">
      <c r="B38" s="28"/>
      <c r="C38" s="377" t="str">
        <f>skorsing!B47</f>
        <v>Sistem pengunci pergerakan</v>
      </c>
      <c r="D38" s="376" t="str">
        <f>skorsing!C47</f>
        <v>Lakukan pemeriksaan system pengunci pergerakan</v>
      </c>
      <c r="E38" s="376"/>
      <c r="F38" s="376"/>
      <c r="G38" s="278" t="str">
        <f>IF(skorsing!H47=1,"BAIK","TIDAK BAIK")</f>
        <v>BAIK</v>
      </c>
      <c r="H38" s="16"/>
      <c r="I38" s="16"/>
    </row>
    <row r="39" spans="2:9">
      <c r="B39" s="28"/>
      <c r="C39" s="377"/>
      <c r="D39" s="376"/>
      <c r="E39" s="376"/>
      <c r="F39" s="376"/>
      <c r="G39" s="278"/>
      <c r="H39" s="16"/>
      <c r="I39" s="16"/>
    </row>
    <row r="40" spans="2:9" ht="15.75" customHeight="1">
      <c r="B40" s="28"/>
      <c r="C40" s="377" t="str">
        <f>skorsing!B49</f>
        <v>Filter</v>
      </c>
      <c r="D40" s="376" t="str">
        <f>skorsing!C49</f>
        <v>Periksa kondisi filter pastikan tidak kotor</v>
      </c>
      <c r="E40" s="376"/>
      <c r="F40" s="376"/>
      <c r="G40" s="278" t="str">
        <f>IF(skorsing!H49=1,"BAIK","TIDAK BAIK")</f>
        <v>BAIK</v>
      </c>
      <c r="H40" s="16"/>
      <c r="I40" s="16"/>
    </row>
    <row r="41" spans="2:9">
      <c r="B41" s="28"/>
      <c r="C41" s="377"/>
      <c r="D41" s="376"/>
      <c r="E41" s="376"/>
      <c r="F41" s="376"/>
      <c r="G41" s="278"/>
      <c r="H41" s="16"/>
      <c r="I41" s="16"/>
    </row>
    <row r="42" spans="2:9">
      <c r="B42" s="28"/>
      <c r="C42" s="135"/>
      <c r="D42" s="135"/>
      <c r="E42" s="135"/>
      <c r="F42" s="135"/>
      <c r="G42" s="135"/>
      <c r="H42" s="16"/>
      <c r="I42" s="16"/>
    </row>
    <row r="43" spans="2:9">
      <c r="B43" s="19" t="s">
        <v>36</v>
      </c>
      <c r="D43" s="18"/>
      <c r="E43" s="17"/>
      <c r="F43" s="17"/>
      <c r="G43" s="17"/>
      <c r="H43" s="16"/>
      <c r="I43" s="16"/>
    </row>
    <row r="44" spans="2:9">
      <c r="B44" s="384" t="s">
        <v>215</v>
      </c>
      <c r="C44" s="384" t="s">
        <v>20</v>
      </c>
      <c r="D44" s="384" t="s">
        <v>214</v>
      </c>
      <c r="E44" s="384" t="s">
        <v>18</v>
      </c>
      <c r="F44" s="384"/>
      <c r="G44" s="16"/>
      <c r="H44" s="16"/>
      <c r="I44" s="16"/>
    </row>
    <row r="45" spans="2:9">
      <c r="B45" s="384"/>
      <c r="C45" s="384"/>
      <c r="D45" s="384"/>
      <c r="E45" s="134" t="s">
        <v>16</v>
      </c>
      <c r="F45" s="134" t="s">
        <v>213</v>
      </c>
      <c r="G45" s="17"/>
      <c r="H45" s="16"/>
      <c r="I45" s="16"/>
    </row>
    <row r="46" spans="2:9">
      <c r="B46" s="244">
        <v>1</v>
      </c>
      <c r="C46" s="208" t="str">
        <f>[5]skorsing!C58</f>
        <v>Resistansi pembumian protektif (Ω)</v>
      </c>
      <c r="D46" s="390">
        <f>skorsing!I63</f>
        <v>0.2156307217098237</v>
      </c>
      <c r="E46" s="371" t="str">
        <f>[5]skorsing!J58</f>
        <v>√</v>
      </c>
      <c r="F46" s="371"/>
      <c r="G46" s="133"/>
      <c r="H46" s="16"/>
      <c r="I46" s="16"/>
    </row>
    <row r="47" spans="2:9" ht="26.25" customHeight="1">
      <c r="B47" s="244"/>
      <c r="C47" s="208"/>
      <c r="D47" s="391"/>
      <c r="E47" s="372"/>
      <c r="F47" s="372"/>
      <c r="G47" s="133"/>
      <c r="H47" s="16"/>
      <c r="I47" s="16"/>
    </row>
    <row r="48" spans="2:9" ht="26.25" customHeight="1">
      <c r="B48" s="244">
        <v>2</v>
      </c>
      <c r="C48" s="208" t="str">
        <f>[5]skorsing!C59</f>
        <v>Resistansi Isolasi (MΩ)</v>
      </c>
      <c r="D48" s="373" t="str">
        <f>skorsing!I64</f>
        <v>OR</v>
      </c>
      <c r="E48" s="374" t="str">
        <f>[5]skorsing!J59</f>
        <v>√</v>
      </c>
      <c r="F48" s="375"/>
      <c r="G48" s="132"/>
      <c r="H48" s="16"/>
      <c r="I48" s="16"/>
    </row>
    <row r="49" spans="2:14" ht="15" customHeight="1">
      <c r="B49" s="244"/>
      <c r="C49" s="208"/>
      <c r="D49" s="373"/>
      <c r="E49" s="374"/>
      <c r="F49" s="375"/>
      <c r="G49" s="132"/>
      <c r="H49" s="16"/>
      <c r="I49" s="16"/>
    </row>
    <row r="50" spans="2:14">
      <c r="B50" s="244">
        <v>3</v>
      </c>
      <c r="C50" s="208" t="str">
        <f>[5]skorsing!C60</f>
        <v>Arus bocor peralatan (µA)</v>
      </c>
      <c r="D50" s="392">
        <f>skorsing!I65</f>
        <v>0.11128338288000575</v>
      </c>
      <c r="E50" s="374" t="str">
        <f>[5]skorsing!J60</f>
        <v>√</v>
      </c>
      <c r="F50" s="375"/>
      <c r="G50" s="17"/>
      <c r="H50" s="16"/>
      <c r="I50" s="16"/>
    </row>
    <row r="51" spans="2:14">
      <c r="B51" s="244"/>
      <c r="C51" s="208"/>
      <c r="D51" s="392"/>
      <c r="E51" s="374"/>
      <c r="F51" s="375"/>
      <c r="G51" s="17"/>
      <c r="H51" s="16"/>
      <c r="I51" s="16"/>
    </row>
    <row r="52" spans="2:14">
      <c r="B52" s="19"/>
      <c r="D52" s="18"/>
      <c r="E52" s="17"/>
      <c r="F52" s="17"/>
      <c r="G52" s="17"/>
      <c r="H52" s="16"/>
      <c r="I52" s="16"/>
    </row>
    <row r="53" spans="2:14">
      <c r="B53" s="114"/>
    </row>
    <row r="54" spans="2:14">
      <c r="B54" s="114" t="s">
        <v>4</v>
      </c>
    </row>
    <row r="55" spans="2:14">
      <c r="B55" s="114"/>
      <c r="C55" s="129" t="s">
        <v>334</v>
      </c>
      <c r="D55" s="15"/>
      <c r="E55" s="15"/>
    </row>
    <row r="56" spans="2:14" ht="16.5" customHeight="1">
      <c r="B56" s="114"/>
      <c r="C56" s="370" t="s">
        <v>100</v>
      </c>
      <c r="D56" s="369" t="s">
        <v>212</v>
      </c>
      <c r="E56" s="369"/>
      <c r="F56" s="369" t="s">
        <v>211</v>
      </c>
      <c r="G56" s="369"/>
      <c r="H56" s="369" t="s">
        <v>113</v>
      </c>
      <c r="I56" s="369"/>
      <c r="K56" s="394" t="s">
        <v>210</v>
      </c>
      <c r="L56" s="394"/>
      <c r="M56" s="394" t="s">
        <v>209</v>
      </c>
      <c r="N56" s="394"/>
    </row>
    <row r="57" spans="2:14">
      <c r="B57" s="114"/>
      <c r="C57" s="370"/>
      <c r="D57" s="369"/>
      <c r="E57" s="369"/>
      <c r="F57" s="369"/>
      <c r="G57" s="369"/>
      <c r="H57" s="369"/>
      <c r="I57" s="369"/>
      <c r="K57" s="394"/>
      <c r="L57" s="394"/>
      <c r="M57" s="394"/>
      <c r="N57" s="394"/>
    </row>
    <row r="58" spans="2:14">
      <c r="B58" s="114"/>
      <c r="C58" s="370"/>
      <c r="D58" s="152" t="s">
        <v>171</v>
      </c>
      <c r="E58" s="152" t="s">
        <v>172</v>
      </c>
      <c r="F58" s="152" t="s">
        <v>171</v>
      </c>
      <c r="G58" s="152" t="s">
        <v>172</v>
      </c>
      <c r="H58" s="152" t="s">
        <v>171</v>
      </c>
      <c r="I58" s="152" t="s">
        <v>172</v>
      </c>
      <c r="K58" s="393">
        <f>IF(skorsing!AD106&gt;=100,50,0)</f>
        <v>50</v>
      </c>
      <c r="L58" s="393"/>
      <c r="M58" s="395">
        <f>K58+skorsing!P63+skorsing!L31</f>
        <v>100</v>
      </c>
      <c r="N58" s="396"/>
    </row>
    <row r="59" spans="2:14">
      <c r="B59" s="114"/>
      <c r="C59" s="130">
        <f>skorsing!B106</f>
        <v>37.503</v>
      </c>
      <c r="D59" s="151">
        <f>skorsing!O106</f>
        <v>38.328066000000007</v>
      </c>
      <c r="E59" s="151">
        <f>skorsing!P106</f>
        <v>38.403072000000002</v>
      </c>
      <c r="F59" s="151">
        <f>skorsing!U106</f>
        <v>0.82506600000000674</v>
      </c>
      <c r="G59" s="151">
        <f>skorsing!V106</f>
        <v>0.90007200000000154</v>
      </c>
      <c r="H59" s="131">
        <f>skorsing!W106</f>
        <v>0.58349153984883662</v>
      </c>
      <c r="I59" s="131">
        <f>skorsing!X106</f>
        <v>0.60232722054077836</v>
      </c>
      <c r="K59" s="393"/>
      <c r="L59" s="393"/>
      <c r="M59" s="397"/>
      <c r="N59" s="398"/>
    </row>
    <row r="60" spans="2:14">
      <c r="B60" s="114"/>
      <c r="C60" s="130">
        <f>skorsing!B107</f>
        <v>75.006</v>
      </c>
      <c r="D60" s="151">
        <f>skorsing!O107</f>
        <v>76.806144000000003</v>
      </c>
      <c r="E60" s="151">
        <f>skorsing!P107</f>
        <v>76.731138000000001</v>
      </c>
      <c r="F60" s="151">
        <f>skorsing!U107</f>
        <v>1.8001440000000031</v>
      </c>
      <c r="G60" s="151">
        <f>skorsing!V107</f>
        <v>1.7251380000000012</v>
      </c>
      <c r="H60" s="131">
        <f>skorsing!W107</f>
        <v>0.59414098104314106</v>
      </c>
      <c r="I60" s="131">
        <f>skorsing!X107</f>
        <v>0.61261479296241816</v>
      </c>
      <c r="K60" s="393"/>
      <c r="L60" s="393"/>
      <c r="M60" s="397"/>
      <c r="N60" s="398"/>
    </row>
    <row r="61" spans="2:14">
      <c r="B61" s="114"/>
      <c r="C61" s="130">
        <f>skorsing!B108</f>
        <v>112.509</v>
      </c>
      <c r="D61" s="151">
        <f>skorsing!O108</f>
        <v>114.25914</v>
      </c>
      <c r="E61" s="151">
        <f>skorsing!P108</f>
        <v>114.309144</v>
      </c>
      <c r="F61" s="151">
        <f>skorsing!U108</f>
        <v>1.7501400000000018</v>
      </c>
      <c r="G61" s="151">
        <f>skorsing!V108</f>
        <v>1.8001440000000031</v>
      </c>
      <c r="H61" s="131">
        <f>skorsing!W108</f>
        <v>0.61928808821377479</v>
      </c>
      <c r="I61" s="131">
        <f>skorsing!X108</f>
        <v>0.6115581622556453</v>
      </c>
      <c r="K61" s="393"/>
      <c r="L61" s="393"/>
      <c r="M61" s="399"/>
      <c r="N61" s="400"/>
    </row>
    <row r="62" spans="2:14">
      <c r="B62" s="114"/>
      <c r="C62" s="130">
        <f>skorsing!B109</f>
        <v>150.012</v>
      </c>
      <c r="D62" s="151">
        <f>skorsing!O109</f>
        <v>151.13709</v>
      </c>
      <c r="E62" s="151">
        <f>skorsing!P109</f>
        <v>151.112088</v>
      </c>
      <c r="F62" s="151">
        <f>skorsing!U109</f>
        <v>1.1250900000000001</v>
      </c>
      <c r="G62" s="151">
        <f>skorsing!V109</f>
        <v>1.1000879999999995</v>
      </c>
      <c r="H62" s="131">
        <f>skorsing!W109</f>
        <v>0.63565937456124233</v>
      </c>
      <c r="I62" s="131">
        <f>skorsing!X109</f>
        <v>0.6374543780895523</v>
      </c>
      <c r="K62" s="150"/>
      <c r="L62" s="150"/>
    </row>
    <row r="63" spans="2:14">
      <c r="B63" s="114"/>
      <c r="C63" s="130">
        <f>skorsing!B110</f>
        <v>187.51500000000001</v>
      </c>
      <c r="D63" s="151">
        <f>skorsing!O110</f>
        <v>188.56508399999998</v>
      </c>
      <c r="E63" s="151">
        <f>skorsing!P110</f>
        <v>188.74009800000002</v>
      </c>
      <c r="F63" s="151">
        <f>skorsing!U110</f>
        <v>1.0500839999999698</v>
      </c>
      <c r="G63" s="151">
        <f>skorsing!V110</f>
        <v>1.2250980000000027</v>
      </c>
      <c r="H63" s="131">
        <f>skorsing!W110</f>
        <v>0.6655378886317862</v>
      </c>
      <c r="I63" s="131">
        <f>skorsing!X110</f>
        <v>0.76885439063036476</v>
      </c>
      <c r="K63" s="150"/>
      <c r="L63" s="150"/>
    </row>
    <row r="64" spans="2:14">
      <c r="B64" s="114"/>
      <c r="C64" s="130">
        <f>skorsing!B111</f>
        <v>225.018</v>
      </c>
      <c r="D64" s="151">
        <f>skorsing!O111</f>
        <v>226.89315000000002</v>
      </c>
      <c r="E64" s="151">
        <f>skorsing!P111</f>
        <v>226.89315000000002</v>
      </c>
      <c r="F64" s="151">
        <f>skorsing!U111</f>
        <v>1.8751500000000192</v>
      </c>
      <c r="G64" s="151">
        <f>skorsing!V111</f>
        <v>1.8751500000000192</v>
      </c>
      <c r="H64" s="131">
        <f>skorsing!W111</f>
        <v>0.70078217315055902</v>
      </c>
      <c r="I64" s="131">
        <f>skorsing!X111</f>
        <v>0.70078217315055902</v>
      </c>
      <c r="K64" s="150"/>
      <c r="L64" s="150"/>
    </row>
    <row r="65" spans="2:21">
      <c r="B65" s="114"/>
      <c r="C65" s="146"/>
      <c r="D65" s="147"/>
      <c r="E65" s="148"/>
      <c r="F65" s="149"/>
      <c r="K65" s="150"/>
      <c r="L65" s="150"/>
    </row>
    <row r="66" spans="2:21">
      <c r="B66" s="127" t="s">
        <v>208</v>
      </c>
      <c r="C66" s="127"/>
      <c r="D66" s="127"/>
      <c r="E66" s="127"/>
      <c r="F66" s="127"/>
      <c r="G66" s="127"/>
      <c r="H66" s="127"/>
      <c r="I66" s="127"/>
      <c r="J66" s="127"/>
      <c r="K66" s="127"/>
      <c r="L66" s="63"/>
      <c r="M66" s="124"/>
      <c r="N66" s="124"/>
      <c r="O66" s="124"/>
      <c r="P66" s="124"/>
      <c r="Q66" s="124"/>
      <c r="R66" s="63"/>
      <c r="S66" s="63"/>
      <c r="T66" s="63"/>
      <c r="U66" s="63"/>
    </row>
    <row r="67" spans="2:21">
      <c r="B67" s="20" t="s">
        <v>207</v>
      </c>
      <c r="C67" s="128" t="s">
        <v>206</v>
      </c>
      <c r="D67" s="128"/>
      <c r="E67" s="128"/>
      <c r="F67" s="36" t="str">
        <f>IF(skorsing!P63&gt;=40,"Aman","Tidak Aman")</f>
        <v>Aman</v>
      </c>
      <c r="G67" s="127"/>
      <c r="H67" s="127"/>
      <c r="I67" s="127"/>
      <c r="J67" s="127"/>
      <c r="K67" s="126"/>
      <c r="L67" s="119"/>
      <c r="M67" s="125"/>
      <c r="N67" s="124"/>
      <c r="O67" s="124"/>
      <c r="P67" s="124"/>
      <c r="Q67" s="124"/>
      <c r="R67" s="63"/>
      <c r="S67" s="63"/>
      <c r="T67" s="63"/>
      <c r="U67" s="63"/>
    </row>
    <row r="68" spans="2:21" ht="14.25" customHeight="1">
      <c r="B68" s="20" t="s">
        <v>205</v>
      </c>
      <c r="C68" s="128" t="s">
        <v>204</v>
      </c>
      <c r="D68" s="128"/>
      <c r="E68" s="128"/>
      <c r="F68" s="36" t="str">
        <f>IF(skorsing!L31&gt;=10,"Baik","Tidak Baik")</f>
        <v>Baik</v>
      </c>
      <c r="G68" s="127"/>
      <c r="H68" s="127"/>
      <c r="I68" s="127"/>
      <c r="J68" s="15"/>
      <c r="K68" s="120"/>
      <c r="L68" s="116" t="s">
        <v>199</v>
      </c>
      <c r="M68" s="116"/>
      <c r="N68" s="119"/>
      <c r="O68" s="124"/>
      <c r="P68" s="124"/>
      <c r="Q68" s="124"/>
      <c r="R68" s="63"/>
      <c r="S68" s="63"/>
      <c r="T68" s="63"/>
      <c r="U68" s="63"/>
    </row>
    <row r="69" spans="2:21" ht="14.25" customHeight="1">
      <c r="B69" s="20" t="s">
        <v>203</v>
      </c>
      <c r="C69" s="123" t="s">
        <v>202</v>
      </c>
      <c r="D69" s="122" t="str">
        <f>IF(M58&gt;=90,"Alat Dinyatakan Laik Pakai","Alat Dinyatakan Tidak Laik Pakai")</f>
        <v>Alat Dinyatakan Laik Pakai</v>
      </c>
      <c r="E69" s="121"/>
      <c r="F69" s="120"/>
      <c r="G69" s="120"/>
      <c r="H69" s="120"/>
      <c r="I69" s="120"/>
      <c r="J69" s="120"/>
      <c r="N69" s="116"/>
      <c r="O69" s="119"/>
      <c r="P69" s="119"/>
      <c r="Q69" s="119"/>
      <c r="R69" s="118"/>
      <c r="S69" s="115"/>
      <c r="T69" s="115"/>
      <c r="U69" s="63"/>
    </row>
    <row r="70" spans="2:21" ht="14.25" customHeight="1">
      <c r="B70" s="20" t="s">
        <v>201</v>
      </c>
      <c r="C70" s="18" t="s">
        <v>200</v>
      </c>
      <c r="D70" s="117"/>
      <c r="E70" s="117"/>
      <c r="F70" s="117"/>
      <c r="G70" s="117"/>
      <c r="H70" s="117"/>
      <c r="I70" s="117"/>
      <c r="O70" s="116"/>
      <c r="P70" s="116"/>
      <c r="Q70" s="115"/>
      <c r="R70" s="115"/>
      <c r="S70" s="115"/>
      <c r="T70" s="115"/>
      <c r="U70" s="63"/>
    </row>
    <row r="71" spans="2:21">
      <c r="B71" s="114"/>
    </row>
    <row r="72" spans="2:21">
      <c r="B72" s="17"/>
      <c r="C72" s="18"/>
      <c r="D72" s="17"/>
      <c r="E72" s="16"/>
      <c r="F72" s="17"/>
      <c r="G72" s="17"/>
      <c r="H72" s="17"/>
      <c r="I72" s="17"/>
    </row>
    <row r="73" spans="2:21">
      <c r="B73" s="16"/>
      <c r="C73" s="17"/>
      <c r="D73" s="17"/>
      <c r="E73" s="17"/>
      <c r="F73" s="17" t="s">
        <v>199</v>
      </c>
      <c r="G73" s="17"/>
      <c r="H73" s="112"/>
      <c r="I73" s="112"/>
    </row>
    <row r="74" spans="2:21">
      <c r="B74" s="16"/>
      <c r="C74" s="17"/>
      <c r="D74" s="17"/>
      <c r="E74" s="17"/>
      <c r="F74" s="17"/>
      <c r="G74" s="17"/>
      <c r="H74" s="112"/>
      <c r="I74" s="112"/>
    </row>
    <row r="75" spans="2:21">
      <c r="B75" s="16"/>
      <c r="C75" s="17"/>
      <c r="D75" s="17"/>
      <c r="E75" s="17"/>
      <c r="F75" s="17"/>
      <c r="G75" s="17"/>
      <c r="H75" s="112"/>
      <c r="I75" s="112"/>
    </row>
    <row r="76" spans="2:21">
      <c r="B76" s="16"/>
      <c r="C76" s="17"/>
      <c r="D76" s="17"/>
      <c r="E76" s="17"/>
      <c r="F76" s="17"/>
      <c r="G76" s="17"/>
      <c r="H76" s="112"/>
      <c r="I76" s="112"/>
    </row>
    <row r="77" spans="2:21">
      <c r="B77" s="16"/>
      <c r="C77" s="17"/>
      <c r="D77" s="17"/>
      <c r="E77" s="17"/>
      <c r="F77" s="17"/>
      <c r="G77" s="17"/>
      <c r="H77" s="112"/>
      <c r="I77" s="112"/>
    </row>
    <row r="78" spans="2:21">
      <c r="B78" s="16"/>
      <c r="C78" s="17"/>
      <c r="D78" s="17"/>
      <c r="E78" s="17"/>
      <c r="F78" s="17"/>
      <c r="G78" s="17"/>
      <c r="H78" s="112"/>
      <c r="I78" s="112"/>
    </row>
    <row r="79" spans="2:21">
      <c r="B79" s="16"/>
      <c r="C79" s="17"/>
      <c r="D79" s="17"/>
      <c r="E79" s="17"/>
      <c r="F79" s="17"/>
      <c r="G79" s="17"/>
      <c r="H79" s="112"/>
      <c r="I79" s="112"/>
    </row>
    <row r="80" spans="2:21">
      <c r="B80" s="16"/>
      <c r="C80" s="17"/>
      <c r="D80" s="17"/>
      <c r="E80" s="17"/>
      <c r="F80" s="17"/>
      <c r="G80" s="17"/>
      <c r="H80" s="112"/>
      <c r="I80" s="112"/>
    </row>
    <row r="81" spans="2:9">
      <c r="B81" s="16"/>
      <c r="C81" s="17"/>
      <c r="D81" s="17"/>
      <c r="E81" s="17"/>
      <c r="F81" s="17"/>
      <c r="G81" s="17"/>
      <c r="H81" s="113"/>
      <c r="I81" s="112"/>
    </row>
    <row r="82" spans="2:9">
      <c r="B82" s="16"/>
      <c r="C82" s="17"/>
      <c r="D82" s="17"/>
      <c r="E82" s="17"/>
      <c r="F82" s="17"/>
      <c r="G82" s="17"/>
      <c r="H82" s="112"/>
      <c r="I82" s="112"/>
    </row>
  </sheetData>
  <mergeCells count="60">
    <mergeCell ref="K58:L61"/>
    <mergeCell ref="K56:L57"/>
    <mergeCell ref="H56:I57"/>
    <mergeCell ref="M56:N57"/>
    <mergeCell ref="M58:N61"/>
    <mergeCell ref="B48:B49"/>
    <mergeCell ref="B46:B47"/>
    <mergeCell ref="C46:C47"/>
    <mergeCell ref="D46:D47"/>
    <mergeCell ref="B50:B51"/>
    <mergeCell ref="C50:C51"/>
    <mergeCell ref="D50:D51"/>
    <mergeCell ref="G28:G29"/>
    <mergeCell ref="C2:H2"/>
    <mergeCell ref="F5:G5"/>
    <mergeCell ref="F6:G6"/>
    <mergeCell ref="F7:G7"/>
    <mergeCell ref="F8:G8"/>
    <mergeCell ref="F9:G9"/>
    <mergeCell ref="F10:G10"/>
    <mergeCell ref="C15:D15"/>
    <mergeCell ref="C16:D16"/>
    <mergeCell ref="C14:D14"/>
    <mergeCell ref="C17:D17"/>
    <mergeCell ref="D27:F27"/>
    <mergeCell ref="C28:C29"/>
    <mergeCell ref="D28:F29"/>
    <mergeCell ref="B44:B45"/>
    <mergeCell ref="C44:C45"/>
    <mergeCell ref="D44:D45"/>
    <mergeCell ref="E44:F44"/>
    <mergeCell ref="D38:F39"/>
    <mergeCell ref="G30:G31"/>
    <mergeCell ref="C30:C31"/>
    <mergeCell ref="D30:F31"/>
    <mergeCell ref="G32:G33"/>
    <mergeCell ref="G34:G35"/>
    <mergeCell ref="C34:C35"/>
    <mergeCell ref="D34:F35"/>
    <mergeCell ref="C32:C33"/>
    <mergeCell ref="D32:F33"/>
    <mergeCell ref="G36:G37"/>
    <mergeCell ref="D36:F37"/>
    <mergeCell ref="C36:C37"/>
    <mergeCell ref="F48:F49"/>
    <mergeCell ref="F46:F47"/>
    <mergeCell ref="C38:C39"/>
    <mergeCell ref="C40:C41"/>
    <mergeCell ref="D40:F41"/>
    <mergeCell ref="G38:G39"/>
    <mergeCell ref="G40:G41"/>
    <mergeCell ref="D56:E57"/>
    <mergeCell ref="C56:C58"/>
    <mergeCell ref="F56:G57"/>
    <mergeCell ref="E46:E47"/>
    <mergeCell ref="C48:C49"/>
    <mergeCell ref="D48:D49"/>
    <mergeCell ref="E48:E49"/>
    <mergeCell ref="E50:E51"/>
    <mergeCell ref="F50:F5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17330-B85E-4609-B573-C919E04DFFF1}">
  <dimension ref="A1:Y44"/>
  <sheetViews>
    <sheetView view="pageBreakPreview" zoomScaleNormal="100" zoomScaleSheetLayoutView="100" workbookViewId="0">
      <selection activeCell="H24" sqref="H24"/>
    </sheetView>
  </sheetViews>
  <sheetFormatPr defaultRowHeight="15"/>
  <cols>
    <col min="1" max="1" width="3.85546875" style="153" customWidth="1"/>
    <col min="2" max="2" width="4.7109375" style="153" customWidth="1"/>
    <col min="3" max="3" width="3.7109375" style="153" customWidth="1"/>
    <col min="4" max="5" width="4.28515625" style="153" customWidth="1"/>
    <col min="6" max="6" width="3.85546875" style="153" customWidth="1"/>
    <col min="7" max="7" width="3.7109375" style="153" customWidth="1"/>
    <col min="8" max="8" width="5.7109375" style="153" customWidth="1"/>
    <col min="9" max="9" width="4.85546875" style="153" customWidth="1"/>
    <col min="10" max="11" width="4.5703125" style="153" customWidth="1"/>
    <col min="12" max="12" width="5.140625" style="153" customWidth="1"/>
    <col min="13" max="13" width="5.42578125" style="153" customWidth="1"/>
    <col min="14" max="14" width="5" style="153" customWidth="1"/>
    <col min="15" max="15" width="4.7109375" style="153" customWidth="1"/>
    <col min="16" max="16" width="5" style="153" customWidth="1"/>
    <col min="17" max="17" width="5.7109375" style="153" customWidth="1"/>
    <col min="18" max="18" width="5.140625" style="153" customWidth="1"/>
    <col min="19" max="19" width="3.7109375" style="153" customWidth="1"/>
    <col min="20" max="20" width="9.5703125" style="153" hidden="1" customWidth="1"/>
    <col min="21" max="16384" width="9.140625" style="153"/>
  </cols>
  <sheetData>
    <row r="1" spans="1:25">
      <c r="A1" s="174"/>
      <c r="B1" s="174"/>
      <c r="C1" s="174"/>
      <c r="D1" s="174"/>
      <c r="E1" s="174"/>
      <c r="F1" s="174"/>
      <c r="G1" s="174"/>
      <c r="H1" s="174"/>
      <c r="I1" s="174"/>
      <c r="J1" s="174"/>
      <c r="K1" s="174"/>
      <c r="L1" s="174"/>
      <c r="M1" s="174"/>
      <c r="N1" s="174"/>
      <c r="O1" s="174"/>
      <c r="P1" s="174"/>
      <c r="Q1" s="174"/>
      <c r="R1" s="174"/>
      <c r="S1" s="174"/>
    </row>
    <row r="2" spans="1:25">
      <c r="A2" s="174"/>
      <c r="B2" s="174"/>
      <c r="C2" s="174"/>
      <c r="D2" s="174"/>
      <c r="E2" s="174"/>
      <c r="F2" s="174"/>
      <c r="G2" s="174"/>
      <c r="H2" s="174"/>
      <c r="I2" s="174"/>
      <c r="J2" s="173"/>
      <c r="K2" s="173"/>
      <c r="L2" s="173"/>
      <c r="M2" s="173"/>
      <c r="N2" s="173"/>
      <c r="O2" s="173"/>
      <c r="P2" s="173"/>
      <c r="Q2" s="173"/>
      <c r="R2" s="173"/>
      <c r="S2" s="173"/>
      <c r="T2" s="170"/>
      <c r="U2" s="170"/>
      <c r="V2" s="170"/>
      <c r="W2" s="170"/>
      <c r="X2" s="170"/>
      <c r="Y2" s="170"/>
    </row>
    <row r="3" spans="1:25">
      <c r="A3" s="174"/>
      <c r="B3" s="174"/>
      <c r="C3" s="174"/>
      <c r="D3" s="174"/>
      <c r="E3" s="174"/>
      <c r="F3" s="174"/>
      <c r="G3" s="174"/>
      <c r="H3" s="174"/>
      <c r="I3" s="174"/>
      <c r="J3" s="173"/>
      <c r="K3" s="173"/>
      <c r="L3" s="173"/>
      <c r="M3" s="173"/>
      <c r="N3" s="173"/>
      <c r="O3" s="173"/>
      <c r="P3" s="173"/>
      <c r="Q3" s="173"/>
      <c r="R3" s="173"/>
      <c r="S3" s="173"/>
      <c r="T3" s="170"/>
      <c r="U3" s="170"/>
      <c r="V3" s="170"/>
      <c r="W3" s="170"/>
      <c r="X3" s="170"/>
      <c r="Y3" s="170"/>
    </row>
    <row r="4" spans="1:25">
      <c r="A4" s="174"/>
      <c r="B4" s="174"/>
      <c r="C4" s="174"/>
      <c r="D4" s="174"/>
      <c r="E4" s="174"/>
      <c r="F4" s="174"/>
      <c r="G4" s="174"/>
      <c r="H4" s="174"/>
      <c r="I4" s="174"/>
      <c r="J4" s="173"/>
      <c r="K4" s="173"/>
      <c r="L4" s="173"/>
      <c r="M4" s="173"/>
      <c r="N4" s="173"/>
      <c r="O4" s="173"/>
      <c r="P4" s="173"/>
      <c r="Q4" s="173"/>
      <c r="R4" s="173"/>
      <c r="S4" s="173"/>
      <c r="T4" s="170"/>
      <c r="U4" s="170"/>
      <c r="V4" s="170"/>
      <c r="W4" s="170"/>
      <c r="X4" s="170"/>
      <c r="Y4" s="170"/>
    </row>
    <row r="5" spans="1:25">
      <c r="A5" s="174"/>
      <c r="B5" s="174"/>
      <c r="C5" s="174"/>
      <c r="D5" s="174"/>
      <c r="E5" s="174"/>
      <c r="F5" s="174"/>
      <c r="G5" s="174"/>
      <c r="H5" s="174"/>
      <c r="I5" s="174"/>
      <c r="J5" s="173"/>
      <c r="K5" s="173"/>
      <c r="L5" s="173"/>
      <c r="M5" s="173"/>
      <c r="N5" s="173"/>
      <c r="O5" s="173"/>
      <c r="P5" s="173"/>
      <c r="Q5" s="173"/>
      <c r="R5" s="173"/>
      <c r="S5" s="173"/>
      <c r="T5" s="170"/>
      <c r="U5" s="170"/>
      <c r="V5" s="170"/>
      <c r="W5" s="170"/>
      <c r="X5" s="170"/>
      <c r="Y5" s="170"/>
    </row>
    <row r="6" spans="1:25" ht="15.75" thickBot="1">
      <c r="A6" s="172"/>
      <c r="B6" s="172"/>
      <c r="C6" s="172"/>
      <c r="D6" s="172"/>
      <c r="E6" s="172"/>
      <c r="F6" s="172"/>
      <c r="G6" s="172"/>
      <c r="H6" s="172"/>
      <c r="I6" s="172"/>
      <c r="J6" s="171"/>
      <c r="K6" s="171"/>
      <c r="L6" s="171"/>
      <c r="M6" s="171"/>
      <c r="N6" s="171"/>
      <c r="O6" s="171"/>
      <c r="P6" s="171"/>
      <c r="Q6" s="171"/>
      <c r="R6" s="171"/>
      <c r="S6" s="171"/>
      <c r="T6" s="170"/>
      <c r="U6" s="170"/>
      <c r="V6" s="170"/>
      <c r="W6" s="170"/>
      <c r="X6" s="170"/>
      <c r="Y6" s="170"/>
    </row>
    <row r="7" spans="1:25" ht="15.75" thickTop="1">
      <c r="J7" s="170"/>
      <c r="K7" s="170"/>
      <c r="L7" s="170"/>
      <c r="M7" s="170"/>
      <c r="N7" s="170"/>
      <c r="O7" s="170"/>
      <c r="P7" s="170"/>
      <c r="Q7" s="170"/>
      <c r="R7" s="170"/>
      <c r="S7" s="170"/>
      <c r="T7" s="170"/>
      <c r="U7" s="170"/>
      <c r="V7" s="170"/>
      <c r="W7" s="170"/>
      <c r="X7" s="170"/>
      <c r="Y7" s="170"/>
    </row>
    <row r="8" spans="1:25" ht="15.75">
      <c r="L8" s="155" t="s">
        <v>252</v>
      </c>
      <c r="P8" s="153" t="s">
        <v>228</v>
      </c>
      <c r="Q8" s="401" t="str">
        <f>skorsing!C5</f>
        <v>S.431</v>
      </c>
      <c r="R8" s="401"/>
      <c r="S8" s="401"/>
    </row>
    <row r="9" spans="1:25">
      <c r="L9" s="160" t="s">
        <v>251</v>
      </c>
    </row>
    <row r="10" spans="1:25" ht="11.25" customHeight="1">
      <c r="L10" s="160"/>
    </row>
    <row r="11" spans="1:25" ht="21">
      <c r="A11" s="402" t="s">
        <v>250</v>
      </c>
      <c r="B11" s="402"/>
      <c r="C11" s="402"/>
      <c r="D11" s="402"/>
      <c r="E11" s="402"/>
      <c r="F11" s="402"/>
      <c r="G11" s="402"/>
      <c r="H11" s="402"/>
      <c r="I11" s="402"/>
      <c r="J11" s="402"/>
      <c r="K11" s="402"/>
      <c r="L11" s="402"/>
      <c r="M11" s="402"/>
      <c r="N11" s="402"/>
      <c r="O11" s="402"/>
      <c r="P11" s="402"/>
      <c r="Q11" s="402"/>
      <c r="R11" s="402"/>
      <c r="S11" s="402"/>
    </row>
    <row r="12" spans="1:25" ht="16.5" customHeight="1">
      <c r="A12" s="407" t="s">
        <v>249</v>
      </c>
      <c r="B12" s="407"/>
      <c r="C12" s="407"/>
      <c r="D12" s="407"/>
      <c r="E12" s="407"/>
      <c r="F12" s="407"/>
      <c r="G12" s="407"/>
      <c r="H12" s="407"/>
      <c r="I12" s="407"/>
      <c r="J12" s="407"/>
      <c r="K12" s="407"/>
      <c r="L12" s="407"/>
      <c r="M12" s="407"/>
      <c r="N12" s="407"/>
      <c r="O12" s="407"/>
      <c r="P12" s="407"/>
      <c r="Q12" s="407"/>
      <c r="R12" s="407"/>
      <c r="S12" s="407"/>
    </row>
    <row r="13" spans="1:25" ht="18.75">
      <c r="A13" s="155"/>
      <c r="B13" s="169" t="s">
        <v>248</v>
      </c>
      <c r="C13" s="155"/>
      <c r="D13" s="155"/>
      <c r="E13" s="155"/>
      <c r="F13" s="155"/>
      <c r="G13" s="155"/>
      <c r="H13" s="155"/>
      <c r="I13" s="155"/>
      <c r="J13" s="155"/>
      <c r="K13" s="155"/>
      <c r="L13" s="155"/>
      <c r="M13" s="155"/>
      <c r="N13" s="155"/>
      <c r="O13" s="155"/>
      <c r="P13" s="155"/>
      <c r="Q13" s="155"/>
      <c r="R13" s="155"/>
      <c r="S13" s="155"/>
    </row>
    <row r="14" spans="1:25">
      <c r="B14" s="160" t="s">
        <v>247</v>
      </c>
    </row>
    <row r="15" spans="1:25" ht="15.75">
      <c r="A15" s="156"/>
      <c r="B15" s="168"/>
      <c r="C15" s="155" t="s">
        <v>72</v>
      </c>
      <c r="D15" s="168"/>
      <c r="F15" s="159" t="s">
        <v>228</v>
      </c>
      <c r="G15" s="153" t="str">
        <f>skorsing!C6</f>
        <v>Phaco Emulsifikasi</v>
      </c>
    </row>
    <row r="16" spans="1:25" ht="15.75">
      <c r="A16" s="155"/>
      <c r="B16" s="160"/>
      <c r="C16" s="154" t="s">
        <v>246</v>
      </c>
      <c r="F16" s="159"/>
    </row>
    <row r="17" spans="1:25" ht="15.75">
      <c r="A17" s="155"/>
      <c r="B17" s="167"/>
      <c r="C17" s="167" t="s">
        <v>71</v>
      </c>
      <c r="F17" s="159" t="s">
        <v>228</v>
      </c>
      <c r="G17" s="153" t="str">
        <f>skorsing!C7</f>
        <v>MD</v>
      </c>
    </row>
    <row r="18" spans="1:25" ht="15.75">
      <c r="A18" s="155"/>
      <c r="B18" s="154"/>
      <c r="C18" s="154" t="s">
        <v>245</v>
      </c>
      <c r="F18" s="159"/>
    </row>
    <row r="19" spans="1:25" ht="15.75">
      <c r="A19" s="155"/>
      <c r="B19" s="155"/>
      <c r="C19" s="155" t="s">
        <v>244</v>
      </c>
      <c r="F19" s="159" t="s">
        <v>228</v>
      </c>
      <c r="G19" s="153" t="str">
        <f>skorsing!C8</f>
        <v>MD-480A</v>
      </c>
    </row>
    <row r="20" spans="1:25" ht="15.75">
      <c r="A20" s="155"/>
      <c r="B20" s="154"/>
      <c r="C20" s="154" t="s">
        <v>244</v>
      </c>
      <c r="F20" s="159"/>
    </row>
    <row r="21" spans="1:25" ht="15.75">
      <c r="A21" s="155"/>
      <c r="B21" s="155"/>
      <c r="C21" s="155" t="s">
        <v>243</v>
      </c>
      <c r="F21" s="159" t="s">
        <v>228</v>
      </c>
      <c r="G21" s="153">
        <f>skorsing!C9</f>
        <v>1213</v>
      </c>
    </row>
    <row r="22" spans="1:25" ht="15.75">
      <c r="A22" s="155"/>
      <c r="B22" s="154"/>
      <c r="C22" s="154" t="s">
        <v>242</v>
      </c>
      <c r="F22" s="159"/>
    </row>
    <row r="23" spans="1:25" ht="15.75">
      <c r="A23" s="155"/>
      <c r="B23" s="155"/>
      <c r="C23" s="155" t="s">
        <v>190</v>
      </c>
      <c r="F23" s="159" t="s">
        <v>228</v>
      </c>
      <c r="G23" s="159">
        <f>skorsing!C11</f>
        <v>1</v>
      </c>
      <c r="H23" s="161" t="str">
        <f>'input data'!C70</f>
        <v>kPa</v>
      </c>
      <c r="K23" s="161"/>
    </row>
    <row r="24" spans="1:25" ht="15.75">
      <c r="A24" s="155"/>
      <c r="B24" s="154"/>
      <c r="C24" s="154" t="s">
        <v>241</v>
      </c>
      <c r="H24" s="161"/>
    </row>
    <row r="25" spans="1:25" ht="15.75">
      <c r="A25" s="155"/>
      <c r="B25" s="155"/>
    </row>
    <row r="26" spans="1:25" ht="18.75">
      <c r="A26" s="155"/>
      <c r="B26" s="166" t="s">
        <v>240</v>
      </c>
    </row>
    <row r="27" spans="1:25" ht="15.75">
      <c r="A27" s="155"/>
      <c r="B27" s="160" t="s">
        <v>239</v>
      </c>
    </row>
    <row r="28" spans="1:25" ht="15.75">
      <c r="A28" s="155"/>
      <c r="B28" s="154"/>
      <c r="C28" s="155" t="s">
        <v>238</v>
      </c>
      <c r="F28" s="159" t="s">
        <v>228</v>
      </c>
      <c r="G28" s="153" t="str">
        <f>skorsing!H6</f>
        <v>PT. Bumi Indah Putra</v>
      </c>
    </row>
    <row r="29" spans="1:25" ht="15.75">
      <c r="A29" s="155"/>
      <c r="B29" s="155"/>
      <c r="C29" s="160" t="s">
        <v>237</v>
      </c>
    </row>
    <row r="30" spans="1:25" ht="15.75">
      <c r="A30" s="155"/>
      <c r="B30" s="154"/>
      <c r="C30" s="155" t="s">
        <v>236</v>
      </c>
      <c r="F30" s="159" t="s">
        <v>228</v>
      </c>
      <c r="G30" s="165" t="s">
        <v>235</v>
      </c>
      <c r="W30" s="163"/>
      <c r="X30" s="163"/>
      <c r="Y30" s="163"/>
    </row>
    <row r="31" spans="1:25" ht="15.75">
      <c r="A31" s="155"/>
      <c r="B31" s="155"/>
      <c r="C31" s="160" t="s">
        <v>234</v>
      </c>
      <c r="G31" s="164" t="s">
        <v>233</v>
      </c>
      <c r="W31" s="163"/>
      <c r="X31" s="163"/>
      <c r="Y31" s="163"/>
    </row>
    <row r="32" spans="1:25" ht="15.75">
      <c r="A32" s="156"/>
      <c r="B32" s="156"/>
    </row>
    <row r="33" spans="1:17" ht="15.75">
      <c r="A33" s="155"/>
      <c r="B33" s="162"/>
      <c r="C33" s="155"/>
      <c r="I33" s="155" t="s">
        <v>232</v>
      </c>
      <c r="N33" s="159" t="s">
        <v>228</v>
      </c>
      <c r="O33" s="161" t="s">
        <v>231</v>
      </c>
    </row>
    <row r="34" spans="1:17" ht="15.75">
      <c r="A34" s="155"/>
      <c r="C34" s="154"/>
      <c r="I34" s="160" t="s">
        <v>230</v>
      </c>
      <c r="N34" s="159"/>
    </row>
    <row r="35" spans="1:17" ht="15.75">
      <c r="A35" s="155"/>
      <c r="C35" s="155"/>
      <c r="I35" s="155" t="s">
        <v>229</v>
      </c>
      <c r="N35" s="159" t="s">
        <v>228</v>
      </c>
      <c r="O35" s="408"/>
      <c r="P35" s="408"/>
      <c r="Q35" s="408"/>
    </row>
    <row r="36" spans="1:17" ht="15.75">
      <c r="A36" s="155"/>
      <c r="C36" s="154"/>
      <c r="I36" s="158" t="s">
        <v>227</v>
      </c>
    </row>
    <row r="37" spans="1:17" ht="15.75">
      <c r="A37" s="155"/>
      <c r="C37" s="155"/>
    </row>
    <row r="38" spans="1:17" ht="15.75">
      <c r="A38" s="155"/>
      <c r="C38" s="154"/>
      <c r="K38" s="406" t="s">
        <v>226</v>
      </c>
      <c r="L38" s="406"/>
      <c r="M38" s="406"/>
      <c r="N38" s="406"/>
      <c r="O38" s="406"/>
    </row>
    <row r="39" spans="1:17" ht="15.75">
      <c r="A39" s="155"/>
      <c r="C39" s="154"/>
    </row>
    <row r="40" spans="1:17" ht="15.75">
      <c r="A40" s="155"/>
      <c r="C40" s="157"/>
    </row>
    <row r="41" spans="1:17" ht="15.75">
      <c r="A41" s="155"/>
      <c r="C41" s="157"/>
    </row>
    <row r="42" spans="1:17" ht="15.75">
      <c r="A42" s="155"/>
      <c r="C42" s="157"/>
      <c r="K42" s="403" t="s">
        <v>225</v>
      </c>
      <c r="L42" s="403"/>
      <c r="M42" s="403"/>
      <c r="N42" s="403"/>
      <c r="O42" s="403"/>
    </row>
    <row r="43" spans="1:17" ht="15.75">
      <c r="A43" s="156"/>
      <c r="B43" s="156"/>
      <c r="K43" s="404" t="s">
        <v>224</v>
      </c>
      <c r="L43" s="404"/>
      <c r="M43" s="404"/>
      <c r="N43" s="404"/>
      <c r="O43" s="404"/>
    </row>
    <row r="44" spans="1:17" ht="15.75">
      <c r="A44" s="155"/>
      <c r="B44" s="154"/>
      <c r="K44" s="405" t="s">
        <v>223</v>
      </c>
      <c r="L44" s="405"/>
      <c r="M44" s="405"/>
      <c r="N44" s="405"/>
      <c r="O44" s="405"/>
    </row>
  </sheetData>
  <mergeCells count="8">
    <mergeCell ref="Q8:S8"/>
    <mergeCell ref="A11:S11"/>
    <mergeCell ref="K42:O42"/>
    <mergeCell ref="K43:O43"/>
    <mergeCell ref="K44:O44"/>
    <mergeCell ref="K38:O38"/>
    <mergeCell ref="A12:S12"/>
    <mergeCell ref="O35:Q35"/>
  </mergeCells>
  <pageMargins left="0.70866141732283472" right="0.70866141732283472" top="0.74803149606299213" bottom="0.74803149606299213" header="0.31496062992125984" footer="0.31496062992125984"/>
  <pageSetup orientation="portrait" horizontalDpi="360" verticalDpi="360" r:id="rId1"/>
  <headerFooter>
    <oddHeader>&amp;C
&amp;G</oddHeader>
    <oddFooter xml:space="preserve">&amp;R
halaman 1 dari 5
</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B2721-E6B8-4BD2-A391-8863BE05BBB7}">
  <dimension ref="A1:Y140"/>
  <sheetViews>
    <sheetView view="pageBreakPreview" topLeftCell="A49" zoomScaleNormal="100" zoomScaleSheetLayoutView="100" workbookViewId="0">
      <selection activeCell="AB67" sqref="AB67"/>
    </sheetView>
  </sheetViews>
  <sheetFormatPr defaultRowHeight="15"/>
  <cols>
    <col min="1" max="1" width="3.85546875" style="153" customWidth="1"/>
    <col min="2" max="2" width="4.7109375" style="153" customWidth="1"/>
    <col min="3" max="3" width="3.7109375" style="153" customWidth="1"/>
    <col min="4" max="5" width="4.28515625" style="153" customWidth="1"/>
    <col min="6" max="6" width="5.140625" style="153" customWidth="1"/>
    <col min="7" max="7" width="4.42578125" style="153" customWidth="1"/>
    <col min="8" max="8" width="5.7109375" style="153" customWidth="1"/>
    <col min="9" max="9" width="6.140625" style="153" customWidth="1"/>
    <col min="10" max="11" width="4.5703125" style="153" customWidth="1"/>
    <col min="12" max="12" width="5.140625" style="153" customWidth="1"/>
    <col min="13" max="13" width="5.42578125" style="153" customWidth="1"/>
    <col min="14" max="14" width="5" style="153" customWidth="1"/>
    <col min="15" max="15" width="4.7109375" style="153" customWidth="1"/>
    <col min="16" max="16" width="2.42578125" style="153" customWidth="1"/>
    <col min="17" max="17" width="5.7109375" style="153" customWidth="1"/>
    <col min="18" max="18" width="6.42578125" style="153" customWidth="1"/>
    <col min="19" max="19" width="3.7109375" style="153" customWidth="1"/>
    <col min="20" max="20" width="9.5703125" style="153" hidden="1" customWidth="1"/>
    <col min="21" max="16384" width="9.140625" style="153"/>
  </cols>
  <sheetData>
    <row r="1" spans="1:25">
      <c r="A1" s="174"/>
      <c r="B1" s="174"/>
      <c r="C1" s="174"/>
      <c r="D1" s="174"/>
      <c r="E1" s="174"/>
      <c r="F1" s="174"/>
      <c r="G1" s="174"/>
      <c r="H1" s="174"/>
      <c r="I1" s="174"/>
      <c r="J1" s="174"/>
      <c r="K1" s="174"/>
      <c r="L1" s="174"/>
      <c r="M1" s="174"/>
      <c r="N1" s="174"/>
      <c r="O1" s="174"/>
      <c r="P1" s="174"/>
      <c r="Q1" s="174"/>
      <c r="R1" s="174"/>
      <c r="S1" s="174"/>
    </row>
    <row r="2" spans="1:25">
      <c r="A2" s="174"/>
      <c r="B2" s="174"/>
      <c r="C2" s="174"/>
      <c r="D2" s="174"/>
      <c r="E2" s="174"/>
      <c r="F2" s="174"/>
      <c r="G2" s="174"/>
      <c r="H2" s="174"/>
      <c r="I2" s="174"/>
      <c r="J2" s="173"/>
      <c r="K2" s="173"/>
      <c r="L2" s="173"/>
      <c r="M2" s="173"/>
      <c r="N2" s="173"/>
      <c r="O2" s="173"/>
      <c r="P2" s="173"/>
      <c r="Q2" s="173"/>
      <c r="R2" s="173"/>
      <c r="S2" s="173"/>
      <c r="T2" s="170"/>
      <c r="U2" s="170"/>
      <c r="V2" s="170"/>
      <c r="W2" s="170"/>
      <c r="X2" s="170"/>
      <c r="Y2" s="170"/>
    </row>
    <row r="3" spans="1:25">
      <c r="A3" s="174"/>
      <c r="B3" s="174"/>
      <c r="C3" s="174"/>
      <c r="D3" s="174"/>
      <c r="E3" s="174"/>
      <c r="F3" s="174"/>
      <c r="G3" s="174"/>
      <c r="H3" s="174"/>
      <c r="I3" s="174"/>
      <c r="J3" s="173"/>
      <c r="K3" s="173"/>
      <c r="L3" s="173"/>
      <c r="M3" s="173"/>
      <c r="N3" s="173"/>
      <c r="O3" s="173"/>
      <c r="P3" s="173"/>
      <c r="Q3" s="173"/>
      <c r="R3" s="173"/>
      <c r="S3" s="173"/>
      <c r="T3" s="170"/>
      <c r="U3" s="170"/>
      <c r="V3" s="170"/>
      <c r="W3" s="170"/>
      <c r="X3" s="170"/>
      <c r="Y3" s="170"/>
    </row>
    <row r="4" spans="1:25">
      <c r="A4" s="174"/>
      <c r="B4" s="174"/>
      <c r="C4" s="174"/>
      <c r="D4" s="174"/>
      <c r="E4" s="174"/>
      <c r="F4" s="174"/>
      <c r="G4" s="174"/>
      <c r="H4" s="174"/>
      <c r="I4" s="174"/>
      <c r="J4" s="173"/>
      <c r="K4" s="173"/>
      <c r="L4" s="173"/>
      <c r="M4" s="173"/>
      <c r="N4" s="173"/>
      <c r="O4" s="173"/>
      <c r="P4" s="173"/>
      <c r="Q4" s="173"/>
      <c r="R4" s="173"/>
      <c r="S4" s="173"/>
      <c r="T4" s="170"/>
      <c r="U4" s="170"/>
      <c r="V4" s="170"/>
      <c r="W4" s="170"/>
      <c r="X4" s="170"/>
      <c r="Y4" s="170"/>
    </row>
    <row r="5" spans="1:25">
      <c r="A5" s="174"/>
      <c r="B5" s="174"/>
      <c r="C5" s="174"/>
      <c r="D5" s="174"/>
      <c r="E5" s="174"/>
      <c r="F5" s="174"/>
      <c r="G5" s="174"/>
      <c r="H5" s="174"/>
      <c r="I5" s="174"/>
      <c r="J5" s="173"/>
      <c r="K5" s="173"/>
      <c r="L5" s="173"/>
      <c r="M5" s="173"/>
      <c r="N5" s="173"/>
      <c r="O5" s="173"/>
      <c r="P5" s="173"/>
      <c r="Q5" s="173"/>
      <c r="R5" s="173"/>
      <c r="S5" s="173"/>
      <c r="T5" s="170"/>
      <c r="U5" s="170"/>
      <c r="V5" s="170"/>
      <c r="W5" s="170"/>
      <c r="X5" s="170"/>
      <c r="Y5" s="170"/>
    </row>
    <row r="6" spans="1:25" ht="15.75" thickBot="1">
      <c r="A6" s="172"/>
      <c r="B6" s="172"/>
      <c r="C6" s="172"/>
      <c r="D6" s="172"/>
      <c r="E6" s="172"/>
      <c r="F6" s="172"/>
      <c r="G6" s="172"/>
      <c r="H6" s="172"/>
      <c r="I6" s="172"/>
      <c r="J6" s="171"/>
      <c r="K6" s="171"/>
      <c r="L6" s="171"/>
      <c r="M6" s="171"/>
      <c r="N6" s="171"/>
      <c r="O6" s="171"/>
      <c r="P6" s="171"/>
      <c r="Q6" s="171"/>
      <c r="R6" s="171"/>
      <c r="S6" s="171"/>
      <c r="T6" s="170"/>
      <c r="U6" s="170"/>
      <c r="V6" s="170"/>
      <c r="W6" s="170"/>
      <c r="X6" s="170"/>
      <c r="Y6" s="170"/>
    </row>
    <row r="7" spans="1:25" ht="15.75" thickTop="1">
      <c r="J7" s="170"/>
      <c r="K7" s="170"/>
      <c r="L7" s="170"/>
      <c r="M7" s="170"/>
      <c r="N7" s="170"/>
      <c r="O7" s="170"/>
      <c r="P7" s="170"/>
      <c r="Q7" s="170"/>
      <c r="R7" s="170"/>
      <c r="S7" s="170"/>
      <c r="T7" s="170"/>
      <c r="U7" s="170"/>
      <c r="V7" s="170"/>
      <c r="W7" s="170"/>
      <c r="X7" s="170"/>
      <c r="Y7" s="170"/>
    </row>
    <row r="8" spans="1:25" ht="15.75">
      <c r="L8" s="155" t="s">
        <v>252</v>
      </c>
      <c r="P8" s="153" t="s">
        <v>228</v>
      </c>
      <c r="Q8" s="401" t="str">
        <f>Cover!Q8</f>
        <v>S.431</v>
      </c>
      <c r="R8" s="401"/>
      <c r="S8" s="401"/>
    </row>
    <row r="9" spans="1:25">
      <c r="L9" s="160" t="s">
        <v>251</v>
      </c>
    </row>
    <row r="10" spans="1:25">
      <c r="L10" s="160"/>
    </row>
    <row r="12" spans="1:25" ht="21">
      <c r="A12" s="402" t="s">
        <v>333</v>
      </c>
      <c r="B12" s="402"/>
      <c r="C12" s="402"/>
      <c r="D12" s="402"/>
      <c r="E12" s="402"/>
      <c r="F12" s="402"/>
      <c r="G12" s="402"/>
      <c r="H12" s="402"/>
      <c r="I12" s="402"/>
      <c r="J12" s="402"/>
      <c r="K12" s="402"/>
      <c r="L12" s="402"/>
      <c r="M12" s="402"/>
      <c r="N12" s="402"/>
      <c r="O12" s="402"/>
      <c r="P12" s="402"/>
      <c r="Q12" s="402"/>
      <c r="R12" s="402"/>
      <c r="S12" s="402"/>
    </row>
    <row r="13" spans="1:25">
      <c r="A13" s="477" t="s">
        <v>332</v>
      </c>
      <c r="B13" s="477"/>
      <c r="C13" s="477"/>
      <c r="D13" s="477"/>
      <c r="E13" s="477"/>
      <c r="F13" s="477"/>
      <c r="G13" s="477"/>
      <c r="H13" s="477"/>
      <c r="I13" s="477"/>
      <c r="J13" s="477"/>
      <c r="K13" s="477"/>
      <c r="L13" s="477"/>
      <c r="M13" s="477"/>
      <c r="N13" s="477"/>
      <c r="O13" s="477"/>
      <c r="P13" s="477"/>
      <c r="Q13" s="477"/>
      <c r="R13" s="477"/>
      <c r="S13" s="477"/>
    </row>
    <row r="14" spans="1:25" ht="15.75">
      <c r="A14" s="404" t="str">
        <f>Cover!G15</f>
        <v>Phaco Emulsifikasi</v>
      </c>
      <c r="B14" s="404"/>
      <c r="C14" s="404"/>
      <c r="D14" s="404"/>
      <c r="E14" s="404"/>
      <c r="F14" s="404"/>
      <c r="G14" s="404"/>
      <c r="H14" s="404"/>
      <c r="I14" s="404"/>
      <c r="J14" s="404"/>
      <c r="K14" s="404"/>
      <c r="L14" s="404"/>
      <c r="M14" s="404"/>
      <c r="N14" s="404"/>
      <c r="O14" s="404"/>
      <c r="P14" s="404"/>
      <c r="Q14" s="404"/>
      <c r="R14" s="404"/>
      <c r="S14" s="404"/>
    </row>
    <row r="16" spans="1:25" ht="15.75">
      <c r="A16" s="156" t="s">
        <v>331</v>
      </c>
      <c r="B16" s="168" t="s">
        <v>330</v>
      </c>
      <c r="C16" s="168"/>
      <c r="D16" s="168"/>
    </row>
    <row r="17" spans="1:25" ht="15.75">
      <c r="A17" s="155"/>
      <c r="B17" s="160" t="s">
        <v>329</v>
      </c>
    </row>
    <row r="18" spans="1:25" ht="15.75">
      <c r="A18" s="155"/>
      <c r="B18" s="167" t="s">
        <v>71</v>
      </c>
      <c r="I18" s="159" t="s">
        <v>228</v>
      </c>
      <c r="J18" s="478" t="str">
        <f>Cover!G17</f>
        <v>MD</v>
      </c>
      <c r="K18" s="478"/>
      <c r="L18" s="478"/>
    </row>
    <row r="19" spans="1:25" ht="15.75">
      <c r="A19" s="155"/>
      <c r="B19" s="154" t="s">
        <v>245</v>
      </c>
      <c r="I19" s="159"/>
      <c r="J19" s="192"/>
    </row>
    <row r="20" spans="1:25" ht="15.75">
      <c r="A20" s="155"/>
      <c r="B20" s="155" t="s">
        <v>244</v>
      </c>
      <c r="I20" s="159" t="s">
        <v>228</v>
      </c>
      <c r="J20" s="192" t="str">
        <f>Cover!G19</f>
        <v>MD-480A</v>
      </c>
    </row>
    <row r="21" spans="1:25" ht="15.75">
      <c r="A21" s="155"/>
      <c r="B21" s="154" t="s">
        <v>244</v>
      </c>
      <c r="I21" s="159"/>
      <c r="J21" s="192"/>
    </row>
    <row r="22" spans="1:25" ht="15.75">
      <c r="A22" s="155"/>
      <c r="B22" s="155" t="s">
        <v>243</v>
      </c>
      <c r="I22" s="159" t="s">
        <v>228</v>
      </c>
      <c r="J22" s="193">
        <f>Cover!G21</f>
        <v>1213</v>
      </c>
    </row>
    <row r="23" spans="1:25" ht="15.75">
      <c r="A23" s="155"/>
      <c r="B23" s="154" t="s">
        <v>242</v>
      </c>
      <c r="I23" s="159"/>
      <c r="J23" s="192"/>
    </row>
    <row r="24" spans="1:25" ht="15.75">
      <c r="A24" s="155"/>
      <c r="B24" s="155" t="s">
        <v>190</v>
      </c>
      <c r="I24" s="159" t="s">
        <v>228</v>
      </c>
      <c r="J24" s="192">
        <f>Cover!G23</f>
        <v>1</v>
      </c>
      <c r="K24" s="161" t="str">
        <f>'input data'!C70</f>
        <v>kPa</v>
      </c>
      <c r="M24" s="192"/>
      <c r="N24" s="161"/>
    </row>
    <row r="25" spans="1:25" ht="15.75">
      <c r="A25" s="155"/>
      <c r="B25" s="154" t="s">
        <v>241</v>
      </c>
      <c r="I25" s="159"/>
    </row>
    <row r="26" spans="1:25" ht="15.75">
      <c r="A26" s="155"/>
      <c r="B26" s="155" t="s">
        <v>328</v>
      </c>
      <c r="I26" s="159" t="s">
        <v>228</v>
      </c>
      <c r="J26" s="192" t="str">
        <f>skorsing!H7</f>
        <v>lab</v>
      </c>
    </row>
    <row r="27" spans="1:25" ht="15.75">
      <c r="A27" s="155"/>
      <c r="B27" s="154" t="s">
        <v>327</v>
      </c>
      <c r="I27" s="159"/>
    </row>
    <row r="28" spans="1:25" ht="15.75">
      <c r="A28" s="155"/>
      <c r="B28" s="155" t="s">
        <v>326</v>
      </c>
      <c r="I28" s="159" t="s">
        <v>228</v>
      </c>
      <c r="J28" s="479">
        <f>skorsing!H8</f>
        <v>46246</v>
      </c>
      <c r="K28" s="479"/>
      <c r="L28" s="479"/>
      <c r="M28" s="479"/>
    </row>
    <row r="29" spans="1:25" ht="15.75">
      <c r="A29" s="155"/>
      <c r="B29" s="154" t="s">
        <v>325</v>
      </c>
      <c r="I29" s="159"/>
      <c r="J29" s="191"/>
      <c r="K29" s="191"/>
      <c r="L29" s="191"/>
      <c r="M29" s="191"/>
    </row>
    <row r="30" spans="1:25" ht="15.75">
      <c r="A30" s="155"/>
      <c r="B30" s="155" t="s">
        <v>128</v>
      </c>
      <c r="I30" s="159" t="s">
        <v>228</v>
      </c>
      <c r="J30" s="479">
        <f>skorsing!H9</f>
        <v>46246</v>
      </c>
      <c r="K30" s="479"/>
      <c r="L30" s="479"/>
      <c r="M30" s="479"/>
    </row>
    <row r="31" spans="1:25" ht="15.75">
      <c r="A31" s="155"/>
      <c r="B31" s="154" t="s">
        <v>324</v>
      </c>
      <c r="I31" s="159"/>
      <c r="J31" s="191"/>
      <c r="K31" s="191"/>
      <c r="L31" s="191"/>
      <c r="M31" s="191"/>
      <c r="W31" s="163"/>
      <c r="X31" s="163"/>
      <c r="Y31" s="163"/>
    </row>
    <row r="32" spans="1:25" ht="15.75">
      <c r="A32" s="155"/>
      <c r="B32" s="155" t="s">
        <v>323</v>
      </c>
      <c r="I32" s="159" t="s">
        <v>228</v>
      </c>
      <c r="J32" s="480"/>
      <c r="K32" s="479"/>
      <c r="L32" s="479"/>
      <c r="M32" s="479"/>
      <c r="W32" s="163"/>
      <c r="X32" s="163"/>
      <c r="Y32" s="163"/>
    </row>
    <row r="33" spans="1:25" ht="16.5" thickBot="1">
      <c r="A33" s="190"/>
      <c r="B33" s="189" t="s">
        <v>322</v>
      </c>
      <c r="C33" s="188"/>
      <c r="D33" s="188"/>
      <c r="E33" s="188"/>
      <c r="F33" s="188"/>
      <c r="G33" s="188"/>
      <c r="H33" s="188"/>
      <c r="I33" s="188"/>
      <c r="J33" s="188"/>
      <c r="K33" s="188"/>
      <c r="L33" s="188"/>
      <c r="M33" s="188"/>
      <c r="N33" s="188"/>
      <c r="O33" s="188"/>
      <c r="P33" s="188"/>
      <c r="Q33" s="188"/>
      <c r="R33" s="188"/>
      <c r="S33" s="188"/>
      <c r="W33" s="163"/>
      <c r="X33" s="163"/>
      <c r="Y33" s="163"/>
    </row>
    <row r="34" spans="1:25" ht="15.75">
      <c r="A34" s="155"/>
    </row>
    <row r="35" spans="1:25" ht="15.75">
      <c r="A35" s="156" t="s">
        <v>321</v>
      </c>
      <c r="B35" s="156" t="s">
        <v>320</v>
      </c>
    </row>
    <row r="36" spans="1:25" ht="15.75">
      <c r="A36" s="155"/>
      <c r="B36" s="154" t="s">
        <v>319</v>
      </c>
    </row>
    <row r="37" spans="1:25" ht="15.75">
      <c r="A37" s="155"/>
      <c r="B37" s="162">
        <v>1</v>
      </c>
      <c r="C37" s="155" t="s">
        <v>318</v>
      </c>
      <c r="I37" s="159" t="s">
        <v>228</v>
      </c>
      <c r="J37" s="187" t="s">
        <v>314</v>
      </c>
      <c r="K37" s="186">
        <f>skorsing!G22</f>
        <v>26.088195005945298</v>
      </c>
      <c r="L37" s="184" t="s">
        <v>313</v>
      </c>
      <c r="M37" s="159">
        <f>skorsing!H22</f>
        <v>0.5</v>
      </c>
      <c r="N37" s="186" t="s">
        <v>317</v>
      </c>
    </row>
    <row r="38" spans="1:25" ht="15.75">
      <c r="A38" s="155"/>
      <c r="B38" s="159"/>
      <c r="C38" s="154" t="s">
        <v>316</v>
      </c>
      <c r="I38" s="159"/>
      <c r="L38" s="159"/>
      <c r="M38" s="159"/>
    </row>
    <row r="39" spans="1:25" ht="15.75">
      <c r="A39" s="155"/>
      <c r="B39" s="159">
        <v>2</v>
      </c>
      <c r="C39" s="155" t="s">
        <v>315</v>
      </c>
      <c r="I39" s="159" t="s">
        <v>228</v>
      </c>
      <c r="J39" s="185" t="s">
        <v>314</v>
      </c>
      <c r="K39" s="159">
        <f>skorsing!G23</f>
        <v>55.69109090909091</v>
      </c>
      <c r="L39" s="184" t="s">
        <v>313</v>
      </c>
      <c r="M39" s="159">
        <f>skorsing!H23</f>
        <v>2.7</v>
      </c>
      <c r="N39" s="153" t="s">
        <v>312</v>
      </c>
    </row>
    <row r="40" spans="1:25" ht="15.75">
      <c r="A40" s="155"/>
      <c r="C40" s="154" t="s">
        <v>311</v>
      </c>
      <c r="I40" s="159"/>
    </row>
    <row r="41" spans="1:25" ht="15.75">
      <c r="A41" s="155"/>
      <c r="C41" s="155" t="s">
        <v>310</v>
      </c>
      <c r="H41" s="153" t="s">
        <v>53</v>
      </c>
      <c r="I41" s="159" t="s">
        <v>228</v>
      </c>
      <c r="J41" s="481">
        <f>skorsing!G24</f>
        <v>231.63429330787622</v>
      </c>
      <c r="K41" s="481"/>
      <c r="L41" s="153" t="s">
        <v>49</v>
      </c>
    </row>
    <row r="42" spans="1:25" ht="15.75">
      <c r="A42" s="155"/>
      <c r="C42" s="154" t="s">
        <v>309</v>
      </c>
    </row>
    <row r="43" spans="1:25" ht="15.75">
      <c r="A43" s="155"/>
      <c r="C43" s="157"/>
    </row>
    <row r="44" spans="1:25" ht="15.75">
      <c r="A44" s="155"/>
      <c r="C44" s="157"/>
    </row>
    <row r="45" spans="1:25" ht="15.75">
      <c r="A45" s="155"/>
      <c r="C45" s="157"/>
    </row>
    <row r="46" spans="1:25" ht="15.75">
      <c r="A46" s="156" t="s">
        <v>308</v>
      </c>
      <c r="B46" s="156" t="s">
        <v>307</v>
      </c>
    </row>
    <row r="47" spans="1:25" ht="15.75">
      <c r="A47" s="155"/>
      <c r="B47" s="154" t="s">
        <v>306</v>
      </c>
    </row>
    <row r="48" spans="1:25" ht="15.75">
      <c r="A48" s="155"/>
      <c r="B48" s="178">
        <v>1</v>
      </c>
      <c r="C48" s="155" t="s">
        <v>305</v>
      </c>
      <c r="I48" s="159" t="s">
        <v>228</v>
      </c>
      <c r="J48" s="153" t="str">
        <f>Laporan!F68</f>
        <v>Baik</v>
      </c>
      <c r="K48" s="183" t="s">
        <v>302</v>
      </c>
      <c r="L48" s="182" t="s">
        <v>301</v>
      </c>
    </row>
    <row r="49" spans="1:18" ht="15.75">
      <c r="A49" s="155"/>
      <c r="B49" s="159"/>
      <c r="C49" s="154" t="s">
        <v>304</v>
      </c>
      <c r="I49" s="159"/>
    </row>
    <row r="50" spans="1:18" ht="15.75">
      <c r="A50" s="155"/>
      <c r="B50" s="178">
        <v>2</v>
      </c>
      <c r="C50" s="155" t="s">
        <v>303</v>
      </c>
      <c r="I50" s="159" t="s">
        <v>228</v>
      </c>
      <c r="J50" s="153" t="str">
        <f>J48</f>
        <v>Baik</v>
      </c>
      <c r="K50" s="183" t="s">
        <v>302</v>
      </c>
      <c r="L50" s="182" t="s">
        <v>301</v>
      </c>
    </row>
    <row r="51" spans="1:18" ht="15.75">
      <c r="A51" s="155"/>
      <c r="C51" s="154" t="s">
        <v>300</v>
      </c>
    </row>
    <row r="52" spans="1:18" ht="15.75">
      <c r="A52" s="155"/>
      <c r="C52" s="157"/>
    </row>
    <row r="53" spans="1:18" ht="15.75">
      <c r="A53" s="156" t="s">
        <v>299</v>
      </c>
      <c r="B53" s="156" t="s">
        <v>298</v>
      </c>
    </row>
    <row r="54" spans="1:18" ht="15.75">
      <c r="A54" s="155"/>
      <c r="B54" s="154" t="s">
        <v>297</v>
      </c>
    </row>
    <row r="55" spans="1:18" ht="15.75">
      <c r="A55" s="155"/>
      <c r="B55" s="450" t="s">
        <v>72</v>
      </c>
      <c r="C55" s="451"/>
      <c r="D55" s="451"/>
      <c r="E55" s="451"/>
      <c r="F55" s="451"/>
      <c r="G55" s="451"/>
      <c r="H55" s="450" t="s">
        <v>71</v>
      </c>
      <c r="I55" s="451"/>
      <c r="J55" s="451"/>
      <c r="K55" s="451"/>
      <c r="L55" s="450" t="s">
        <v>295</v>
      </c>
      <c r="M55" s="451"/>
      <c r="N55" s="451"/>
      <c r="O55" s="450" t="s">
        <v>243</v>
      </c>
      <c r="P55" s="451"/>
      <c r="Q55" s="451"/>
      <c r="R55" s="469"/>
    </row>
    <row r="56" spans="1:18" ht="15.75">
      <c r="A56" s="155"/>
      <c r="B56" s="463" t="s">
        <v>296</v>
      </c>
      <c r="C56" s="464"/>
      <c r="D56" s="464"/>
      <c r="E56" s="464"/>
      <c r="F56" s="464"/>
      <c r="G56" s="464"/>
      <c r="H56" s="463" t="s">
        <v>245</v>
      </c>
      <c r="I56" s="464"/>
      <c r="J56" s="464"/>
      <c r="K56" s="464"/>
      <c r="L56" s="463" t="s">
        <v>295</v>
      </c>
      <c r="M56" s="464"/>
      <c r="N56" s="464"/>
      <c r="O56" s="463" t="s">
        <v>242</v>
      </c>
      <c r="P56" s="464"/>
      <c r="Q56" s="464"/>
      <c r="R56" s="470"/>
    </row>
    <row r="57" spans="1:18" ht="15.75">
      <c r="A57" s="155"/>
      <c r="B57" s="440" t="str">
        <f>skorsing!C15</f>
        <v>Digital Pressure Meter</v>
      </c>
      <c r="C57" s="441"/>
      <c r="D57" s="441"/>
      <c r="E57" s="441"/>
      <c r="F57" s="441"/>
      <c r="G57" s="442"/>
      <c r="H57" s="446" t="str">
        <f>skorsing!F15</f>
        <v>Netech</v>
      </c>
      <c r="I57" s="447"/>
      <c r="J57" s="447"/>
      <c r="K57" s="448"/>
      <c r="L57" s="446" t="str">
        <f>skorsing!G15</f>
        <v>Digimano 2500</v>
      </c>
      <c r="M57" s="447"/>
      <c r="N57" s="448"/>
      <c r="O57" s="446">
        <f>skorsing!H15</f>
        <v>40947</v>
      </c>
      <c r="P57" s="447"/>
      <c r="Q57" s="447"/>
      <c r="R57" s="448"/>
    </row>
    <row r="58" spans="1:18" ht="15.75">
      <c r="A58" s="155"/>
      <c r="B58" s="440" t="str">
        <f>skorsing!C16</f>
        <v>Electrical Safety Analyzer</v>
      </c>
      <c r="C58" s="441"/>
      <c r="D58" s="441"/>
      <c r="E58" s="441"/>
      <c r="F58" s="441"/>
      <c r="G58" s="442"/>
      <c r="H58" s="443" t="str">
        <f>skorsing!F16</f>
        <v>Fluke Biomedical</v>
      </c>
      <c r="I58" s="444"/>
      <c r="J58" s="444"/>
      <c r="K58" s="445"/>
      <c r="L58" s="443" t="str">
        <f>skorsing!G16</f>
        <v>ESA612</v>
      </c>
      <c r="M58" s="444"/>
      <c r="N58" s="445"/>
      <c r="O58" s="446">
        <f>skorsing!H16</f>
        <v>6579027</v>
      </c>
      <c r="P58" s="447"/>
      <c r="Q58" s="447"/>
      <c r="R58" s="448"/>
    </row>
    <row r="59" spans="1:18" ht="15.75">
      <c r="A59" s="155"/>
      <c r="B59" s="440" t="str">
        <f>skorsing!C17</f>
        <v>Thermohygrometer</v>
      </c>
      <c r="C59" s="441"/>
      <c r="D59" s="441"/>
      <c r="E59" s="441"/>
      <c r="F59" s="441"/>
      <c r="G59" s="442"/>
      <c r="H59" s="443" t="str">
        <f>skorsing!F17</f>
        <v>Taffware</v>
      </c>
      <c r="I59" s="444"/>
      <c r="J59" s="444"/>
      <c r="K59" s="445"/>
      <c r="L59" s="443" t="str">
        <f>skorsing!G17</f>
        <v>HTC-1</v>
      </c>
      <c r="M59" s="444"/>
      <c r="N59" s="445"/>
      <c r="O59" s="446" t="str">
        <f>skorsing!H17</f>
        <v>TH-01</v>
      </c>
      <c r="P59" s="447"/>
      <c r="Q59" s="447"/>
      <c r="R59" s="448"/>
    </row>
    <row r="60" spans="1:18" ht="15.75">
      <c r="A60" s="155"/>
    </row>
    <row r="61" spans="1:18" ht="15.75">
      <c r="A61" s="156" t="s">
        <v>294</v>
      </c>
      <c r="B61" s="168" t="s">
        <v>293</v>
      </c>
    </row>
    <row r="62" spans="1:18" ht="15.75">
      <c r="A62" s="155"/>
      <c r="B62" s="154" t="s">
        <v>292</v>
      </c>
    </row>
    <row r="63" spans="1:18" ht="15.75">
      <c r="A63" s="155"/>
      <c r="B63" s="427" t="s">
        <v>21</v>
      </c>
      <c r="C63" s="450" t="s">
        <v>20</v>
      </c>
      <c r="D63" s="451"/>
      <c r="E63" s="451"/>
      <c r="F63" s="451"/>
      <c r="G63" s="451"/>
      <c r="H63" s="451"/>
      <c r="I63" s="451"/>
      <c r="J63" s="451"/>
      <c r="K63" s="450" t="s">
        <v>291</v>
      </c>
      <c r="L63" s="451"/>
      <c r="M63" s="451"/>
      <c r="N63" s="451"/>
      <c r="O63" s="450" t="s">
        <v>3</v>
      </c>
      <c r="P63" s="451"/>
      <c r="Q63" s="451"/>
      <c r="R63" s="469"/>
    </row>
    <row r="64" spans="1:18" ht="15.75">
      <c r="A64" s="155"/>
      <c r="B64" s="449"/>
      <c r="C64" s="463" t="s">
        <v>20</v>
      </c>
      <c r="D64" s="464"/>
      <c r="E64" s="464"/>
      <c r="F64" s="464"/>
      <c r="G64" s="464"/>
      <c r="H64" s="464"/>
      <c r="I64" s="464"/>
      <c r="J64" s="464"/>
      <c r="K64" s="463" t="s">
        <v>279</v>
      </c>
      <c r="L64" s="464"/>
      <c r="M64" s="464"/>
      <c r="N64" s="464"/>
      <c r="O64" s="463" t="s">
        <v>290</v>
      </c>
      <c r="P64" s="464"/>
      <c r="Q64" s="464"/>
      <c r="R64" s="470"/>
    </row>
    <row r="65" spans="1:22" ht="15.75">
      <c r="A65" s="155"/>
      <c r="B65" s="181">
        <v>1</v>
      </c>
      <c r="C65" s="465" t="str">
        <f>[5]skorsing!C58</f>
        <v>Resistansi pembumian protektif (Ω)</v>
      </c>
      <c r="D65" s="465"/>
      <c r="E65" s="465"/>
      <c r="F65" s="465"/>
      <c r="G65" s="465"/>
      <c r="H65" s="465"/>
      <c r="I65" s="465"/>
      <c r="J65" s="465"/>
      <c r="K65" s="466">
        <f>skorsing!I63</f>
        <v>0.2156307217098237</v>
      </c>
      <c r="L65" s="466"/>
      <c r="M65" s="466"/>
      <c r="N65" s="466"/>
      <c r="O65" s="471" t="s">
        <v>289</v>
      </c>
      <c r="P65" s="471"/>
      <c r="Q65" s="471"/>
      <c r="R65" s="471"/>
    </row>
    <row r="66" spans="1:22" ht="15.75">
      <c r="A66" s="155"/>
      <c r="B66" s="181">
        <v>2</v>
      </c>
      <c r="C66" s="465" t="str">
        <f>[5]skorsing!C59</f>
        <v>Resistansi Isolasi (MΩ)</v>
      </c>
      <c r="D66" s="465"/>
      <c r="E66" s="465"/>
      <c r="F66" s="465"/>
      <c r="G66" s="465"/>
      <c r="H66" s="465"/>
      <c r="I66" s="465"/>
      <c r="J66" s="465"/>
      <c r="K66" s="466" t="str">
        <f>skorsing!I64</f>
        <v>OR</v>
      </c>
      <c r="L66" s="466"/>
      <c r="M66" s="466"/>
      <c r="N66" s="466"/>
      <c r="O66" s="471" t="s">
        <v>288</v>
      </c>
      <c r="P66" s="471"/>
      <c r="Q66" s="471"/>
      <c r="R66" s="471"/>
    </row>
    <row r="67" spans="1:22" ht="15.75">
      <c r="A67" s="155"/>
      <c r="B67" s="181">
        <v>3</v>
      </c>
      <c r="C67" s="465" t="str">
        <f>[5]skorsing!C60</f>
        <v>Arus bocor peralatan (µA)</v>
      </c>
      <c r="D67" s="465"/>
      <c r="E67" s="465"/>
      <c r="F67" s="465"/>
      <c r="G67" s="465"/>
      <c r="H67" s="465"/>
      <c r="I67" s="465"/>
      <c r="J67" s="465"/>
      <c r="K67" s="472">
        <f>skorsing!I65</f>
        <v>0.11128338288000575</v>
      </c>
      <c r="L67" s="472"/>
      <c r="M67" s="472"/>
      <c r="N67" s="472"/>
      <c r="O67" s="471" t="s">
        <v>287</v>
      </c>
      <c r="P67" s="471"/>
      <c r="Q67" s="471"/>
      <c r="R67" s="471"/>
    </row>
    <row r="68" spans="1:22" ht="15.75">
      <c r="A68" s="155"/>
      <c r="B68" s="178"/>
      <c r="C68" s="180"/>
      <c r="D68" s="180"/>
      <c r="E68" s="180"/>
      <c r="F68" s="180"/>
      <c r="G68" s="180"/>
      <c r="H68" s="180"/>
      <c r="I68" s="180"/>
      <c r="J68" s="180"/>
      <c r="K68" s="178"/>
      <c r="L68" s="178"/>
      <c r="M68" s="178"/>
      <c r="N68" s="178"/>
      <c r="O68" s="178"/>
      <c r="P68" s="178"/>
      <c r="Q68" s="178"/>
      <c r="R68" s="178"/>
    </row>
    <row r="69" spans="1:22" ht="15.75" customHeight="1">
      <c r="A69" s="156" t="s">
        <v>286</v>
      </c>
      <c r="B69" s="156" t="s">
        <v>285</v>
      </c>
      <c r="C69" s="168"/>
    </row>
    <row r="70" spans="1:22" ht="15.75">
      <c r="A70" s="155"/>
      <c r="B70" s="154" t="s">
        <v>284</v>
      </c>
    </row>
    <row r="71" spans="1:22" ht="15.75">
      <c r="A71" s="155"/>
      <c r="B71" s="179" t="s">
        <v>335</v>
      </c>
      <c r="V71" s="153" t="s">
        <v>283</v>
      </c>
    </row>
    <row r="72" spans="1:22" ht="27.75" customHeight="1">
      <c r="A72" s="155"/>
      <c r="B72" s="424" t="s">
        <v>100</v>
      </c>
      <c r="C72" s="425"/>
      <c r="D72" s="425"/>
      <c r="E72" s="426"/>
      <c r="F72" s="427" t="s">
        <v>282</v>
      </c>
      <c r="G72" s="428"/>
      <c r="H72" s="428"/>
      <c r="I72" s="429"/>
      <c r="J72" s="427" t="s">
        <v>211</v>
      </c>
      <c r="K72" s="428"/>
      <c r="L72" s="428"/>
      <c r="M72" s="429"/>
      <c r="N72" s="430" t="s">
        <v>281</v>
      </c>
      <c r="O72" s="431"/>
      <c r="P72" s="431"/>
      <c r="Q72" s="431"/>
      <c r="R72" s="432"/>
    </row>
    <row r="73" spans="1:22" ht="15.75">
      <c r="A73" s="155"/>
      <c r="B73" s="412" t="s">
        <v>280</v>
      </c>
      <c r="C73" s="413"/>
      <c r="D73" s="413"/>
      <c r="E73" s="414"/>
      <c r="F73" s="417" t="s">
        <v>279</v>
      </c>
      <c r="G73" s="418"/>
      <c r="H73" s="418"/>
      <c r="I73" s="419"/>
      <c r="J73" s="417" t="s">
        <v>278</v>
      </c>
      <c r="K73" s="420"/>
      <c r="L73" s="420"/>
      <c r="M73" s="419"/>
      <c r="N73" s="417" t="s">
        <v>277</v>
      </c>
      <c r="O73" s="420"/>
      <c r="P73" s="420"/>
      <c r="Q73" s="420"/>
      <c r="R73" s="419"/>
    </row>
    <row r="74" spans="1:22" ht="15.75">
      <c r="A74" s="155"/>
      <c r="B74" s="412"/>
      <c r="C74" s="413"/>
      <c r="D74" s="413"/>
      <c r="E74" s="413"/>
      <c r="F74" s="421" t="s">
        <v>106</v>
      </c>
      <c r="G74" s="422"/>
      <c r="H74" s="421" t="s">
        <v>107</v>
      </c>
      <c r="I74" s="423"/>
      <c r="J74" s="421" t="s">
        <v>106</v>
      </c>
      <c r="K74" s="422"/>
      <c r="L74" s="421" t="s">
        <v>107</v>
      </c>
      <c r="M74" s="423"/>
      <c r="N74" s="422" t="s">
        <v>106</v>
      </c>
      <c r="O74" s="422"/>
      <c r="P74" s="422"/>
      <c r="Q74" s="421" t="s">
        <v>107</v>
      </c>
      <c r="R74" s="423"/>
    </row>
    <row r="75" spans="1:22" ht="15.75">
      <c r="A75" s="155"/>
      <c r="B75" s="415"/>
      <c r="C75" s="416"/>
      <c r="D75" s="416"/>
      <c r="E75" s="416"/>
      <c r="F75" s="409" t="s">
        <v>336</v>
      </c>
      <c r="G75" s="410"/>
      <c r="H75" s="409" t="s">
        <v>337</v>
      </c>
      <c r="I75" s="411"/>
      <c r="J75" s="409" t="s">
        <v>336</v>
      </c>
      <c r="K75" s="410"/>
      <c r="L75" s="409" t="s">
        <v>337</v>
      </c>
      <c r="M75" s="411"/>
      <c r="N75" s="410" t="s">
        <v>336</v>
      </c>
      <c r="O75" s="410"/>
      <c r="P75" s="410"/>
      <c r="Q75" s="409" t="s">
        <v>337</v>
      </c>
      <c r="R75" s="411"/>
    </row>
    <row r="76" spans="1:22" ht="15.75">
      <c r="A76" s="155"/>
      <c r="B76" s="457">
        <f>skorsing!G88</f>
        <v>37.503</v>
      </c>
      <c r="C76" s="458"/>
      <c r="D76" s="458"/>
      <c r="E76" s="459"/>
      <c r="F76" s="436">
        <f>skorsing!O106</f>
        <v>38.328066000000007</v>
      </c>
      <c r="G76" s="456"/>
      <c r="H76" s="436">
        <f>skorsing!P106</f>
        <v>38.403072000000002</v>
      </c>
      <c r="I76" s="437"/>
      <c r="J76" s="436">
        <f>skorsing!U106</f>
        <v>0.82506600000000674</v>
      </c>
      <c r="K76" s="456"/>
      <c r="L76" s="436">
        <f>skorsing!V106</f>
        <v>0.90007200000000154</v>
      </c>
      <c r="M76" s="456"/>
      <c r="N76" s="436">
        <f>skorsing!W106</f>
        <v>0.58349153984883662</v>
      </c>
      <c r="O76" s="439"/>
      <c r="P76" s="437"/>
      <c r="Q76" s="436">
        <f>skorsing!X106</f>
        <v>0.60232722054077836</v>
      </c>
      <c r="R76" s="437"/>
    </row>
    <row r="77" spans="1:22" ht="15.75">
      <c r="A77" s="155"/>
      <c r="B77" s="457">
        <f>skorsing!G89</f>
        <v>75.006</v>
      </c>
      <c r="C77" s="458"/>
      <c r="D77" s="458"/>
      <c r="E77" s="459"/>
      <c r="F77" s="433">
        <f>skorsing!O107</f>
        <v>76.806144000000003</v>
      </c>
      <c r="G77" s="438"/>
      <c r="H77" s="433">
        <f>skorsing!P107</f>
        <v>76.731138000000001</v>
      </c>
      <c r="I77" s="434"/>
      <c r="J77" s="433">
        <f>skorsing!U107</f>
        <v>1.8001440000000031</v>
      </c>
      <c r="K77" s="438"/>
      <c r="L77" s="433">
        <f>skorsing!V107</f>
        <v>1.7251380000000012</v>
      </c>
      <c r="M77" s="438"/>
      <c r="N77" s="433">
        <f>skorsing!W107</f>
        <v>0.59414098104314106</v>
      </c>
      <c r="O77" s="435"/>
      <c r="P77" s="434"/>
      <c r="Q77" s="433">
        <f>skorsing!X107</f>
        <v>0.61261479296241816</v>
      </c>
      <c r="R77" s="434"/>
    </row>
    <row r="78" spans="1:22" ht="15.75">
      <c r="A78" s="155"/>
      <c r="B78" s="457">
        <f>skorsing!G90</f>
        <v>112.509</v>
      </c>
      <c r="C78" s="458"/>
      <c r="D78" s="458"/>
      <c r="E78" s="459"/>
      <c r="F78" s="433">
        <f>skorsing!O108</f>
        <v>114.25914</v>
      </c>
      <c r="G78" s="438"/>
      <c r="H78" s="433">
        <f>skorsing!P108</f>
        <v>114.309144</v>
      </c>
      <c r="I78" s="434"/>
      <c r="J78" s="433">
        <f>skorsing!U108</f>
        <v>1.7501400000000018</v>
      </c>
      <c r="K78" s="438"/>
      <c r="L78" s="433">
        <f>skorsing!V108</f>
        <v>1.8001440000000031</v>
      </c>
      <c r="M78" s="438"/>
      <c r="N78" s="433">
        <f>skorsing!W108</f>
        <v>0.61928808821377479</v>
      </c>
      <c r="O78" s="435"/>
      <c r="P78" s="434"/>
      <c r="Q78" s="433">
        <f>skorsing!X108</f>
        <v>0.6115581622556453</v>
      </c>
      <c r="R78" s="434"/>
    </row>
    <row r="79" spans="1:22" s="199" customFormat="1" ht="15.75">
      <c r="A79" s="196"/>
      <c r="B79" s="194"/>
      <c r="C79" s="195"/>
      <c r="D79" s="195"/>
      <c r="E79" s="195"/>
      <c r="F79" s="197"/>
      <c r="G79" s="197"/>
      <c r="H79" s="197"/>
      <c r="I79" s="198"/>
      <c r="J79" s="197"/>
      <c r="K79" s="197"/>
      <c r="L79" s="197"/>
      <c r="M79" s="197"/>
      <c r="N79" s="197"/>
      <c r="O79" s="198"/>
      <c r="P79" s="198"/>
      <c r="Q79" s="197"/>
      <c r="R79" s="198"/>
    </row>
    <row r="80" spans="1:22" s="199" customFormat="1" ht="15.75">
      <c r="A80" s="196"/>
      <c r="B80" s="194"/>
      <c r="C80" s="195"/>
      <c r="D80" s="195"/>
      <c r="E80" s="195"/>
      <c r="F80" s="197"/>
      <c r="G80" s="197"/>
      <c r="H80" s="197"/>
      <c r="I80" s="198"/>
      <c r="J80" s="197"/>
      <c r="K80" s="197"/>
      <c r="L80" s="197"/>
      <c r="M80" s="197"/>
      <c r="N80" s="197"/>
      <c r="O80" s="198"/>
      <c r="P80" s="198"/>
      <c r="Q80" s="197"/>
      <c r="R80" s="198"/>
    </row>
    <row r="81" spans="1:18" s="199" customFormat="1" ht="15.75">
      <c r="A81" s="196"/>
      <c r="B81" s="194"/>
      <c r="C81" s="195"/>
      <c r="D81" s="195"/>
      <c r="E81" s="195"/>
      <c r="F81" s="197"/>
      <c r="G81" s="197"/>
      <c r="H81" s="197"/>
      <c r="I81" s="198"/>
      <c r="J81" s="197"/>
      <c r="K81" s="197"/>
      <c r="L81" s="197"/>
      <c r="M81" s="197"/>
      <c r="N81" s="197"/>
      <c r="O81" s="198"/>
      <c r="P81" s="198"/>
      <c r="Q81" s="197"/>
      <c r="R81" s="198"/>
    </row>
    <row r="82" spans="1:18" s="199" customFormat="1" ht="15.75">
      <c r="A82" s="196"/>
      <c r="B82" s="424" t="s">
        <v>100</v>
      </c>
      <c r="C82" s="425"/>
      <c r="D82" s="425"/>
      <c r="E82" s="426"/>
      <c r="F82" s="427" t="s">
        <v>282</v>
      </c>
      <c r="G82" s="428"/>
      <c r="H82" s="428"/>
      <c r="I82" s="429"/>
      <c r="J82" s="427" t="s">
        <v>211</v>
      </c>
      <c r="K82" s="428"/>
      <c r="L82" s="428"/>
      <c r="M82" s="429"/>
      <c r="N82" s="430" t="s">
        <v>281</v>
      </c>
      <c r="O82" s="431"/>
      <c r="P82" s="431"/>
      <c r="Q82" s="431"/>
      <c r="R82" s="432"/>
    </row>
    <row r="83" spans="1:18" s="199" customFormat="1" ht="15.75">
      <c r="A83" s="196"/>
      <c r="B83" s="412" t="s">
        <v>280</v>
      </c>
      <c r="C83" s="413"/>
      <c r="D83" s="413"/>
      <c r="E83" s="414"/>
      <c r="F83" s="417" t="s">
        <v>279</v>
      </c>
      <c r="G83" s="418"/>
      <c r="H83" s="418"/>
      <c r="I83" s="419"/>
      <c r="J83" s="417" t="s">
        <v>278</v>
      </c>
      <c r="K83" s="420"/>
      <c r="L83" s="420"/>
      <c r="M83" s="419"/>
      <c r="N83" s="417" t="s">
        <v>277</v>
      </c>
      <c r="O83" s="420"/>
      <c r="P83" s="420"/>
      <c r="Q83" s="420"/>
      <c r="R83" s="419"/>
    </row>
    <row r="84" spans="1:18" s="199" customFormat="1" ht="15.75">
      <c r="A84" s="196"/>
      <c r="B84" s="412"/>
      <c r="C84" s="413"/>
      <c r="D84" s="413"/>
      <c r="E84" s="413"/>
      <c r="F84" s="421" t="s">
        <v>106</v>
      </c>
      <c r="G84" s="422"/>
      <c r="H84" s="421" t="s">
        <v>107</v>
      </c>
      <c r="I84" s="423"/>
      <c r="J84" s="421" t="s">
        <v>106</v>
      </c>
      <c r="K84" s="422"/>
      <c r="L84" s="421" t="s">
        <v>107</v>
      </c>
      <c r="M84" s="423"/>
      <c r="N84" s="422" t="s">
        <v>106</v>
      </c>
      <c r="O84" s="422"/>
      <c r="P84" s="422"/>
      <c r="Q84" s="421" t="s">
        <v>107</v>
      </c>
      <c r="R84" s="423"/>
    </row>
    <row r="85" spans="1:18" s="199" customFormat="1" ht="15.75">
      <c r="A85" s="196"/>
      <c r="B85" s="415"/>
      <c r="C85" s="416"/>
      <c r="D85" s="416"/>
      <c r="E85" s="416"/>
      <c r="F85" s="409" t="s">
        <v>336</v>
      </c>
      <c r="G85" s="410"/>
      <c r="H85" s="409" t="s">
        <v>337</v>
      </c>
      <c r="I85" s="411"/>
      <c r="J85" s="409" t="s">
        <v>336</v>
      </c>
      <c r="K85" s="410"/>
      <c r="L85" s="409" t="s">
        <v>337</v>
      </c>
      <c r="M85" s="411"/>
      <c r="N85" s="410" t="s">
        <v>336</v>
      </c>
      <c r="O85" s="410"/>
      <c r="P85" s="410"/>
      <c r="Q85" s="409" t="s">
        <v>337</v>
      </c>
      <c r="R85" s="411"/>
    </row>
    <row r="86" spans="1:18" ht="15.75">
      <c r="A86" s="155"/>
      <c r="B86" s="460">
        <f>skorsing!G91</f>
        <v>150.012</v>
      </c>
      <c r="C86" s="461"/>
      <c r="D86" s="461"/>
      <c r="E86" s="462"/>
      <c r="F86" s="436">
        <f>skorsing!O109</f>
        <v>151.13709</v>
      </c>
      <c r="G86" s="456"/>
      <c r="H86" s="436">
        <f>skorsing!P109</f>
        <v>151.112088</v>
      </c>
      <c r="I86" s="437"/>
      <c r="J86" s="436">
        <f>skorsing!U109</f>
        <v>1.1250900000000001</v>
      </c>
      <c r="K86" s="456"/>
      <c r="L86" s="436">
        <f>skorsing!V109</f>
        <v>1.1000879999999995</v>
      </c>
      <c r="M86" s="456"/>
      <c r="N86" s="436">
        <f>skorsing!W109</f>
        <v>0.63565937456124233</v>
      </c>
      <c r="O86" s="439"/>
      <c r="P86" s="437"/>
      <c r="Q86" s="436">
        <f>skorsing!X109</f>
        <v>0.6374543780895523</v>
      </c>
      <c r="R86" s="437"/>
    </row>
    <row r="87" spans="1:18" ht="15.75">
      <c r="A87" s="155"/>
      <c r="B87" s="457">
        <f>skorsing!G92</f>
        <v>187.51500000000001</v>
      </c>
      <c r="C87" s="458"/>
      <c r="D87" s="458"/>
      <c r="E87" s="459"/>
      <c r="F87" s="433">
        <f>skorsing!O110</f>
        <v>188.56508399999998</v>
      </c>
      <c r="G87" s="438"/>
      <c r="H87" s="433">
        <f>skorsing!P110</f>
        <v>188.74009800000002</v>
      </c>
      <c r="I87" s="434"/>
      <c r="J87" s="433">
        <f>skorsing!U110</f>
        <v>1.0500839999999698</v>
      </c>
      <c r="K87" s="438"/>
      <c r="L87" s="433">
        <f>skorsing!V110</f>
        <v>1.2250980000000027</v>
      </c>
      <c r="M87" s="438"/>
      <c r="N87" s="433">
        <f>skorsing!W110</f>
        <v>0.6655378886317862</v>
      </c>
      <c r="O87" s="435"/>
      <c r="P87" s="434"/>
      <c r="Q87" s="433">
        <f>skorsing!X110</f>
        <v>0.76885439063036476</v>
      </c>
      <c r="R87" s="434"/>
    </row>
    <row r="88" spans="1:18" ht="15.75">
      <c r="A88" s="155"/>
      <c r="B88" s="457">
        <f>skorsing!G93</f>
        <v>225.018</v>
      </c>
      <c r="C88" s="458"/>
      <c r="D88" s="458"/>
      <c r="E88" s="459"/>
      <c r="F88" s="433">
        <f>skorsing!O111</f>
        <v>226.89315000000002</v>
      </c>
      <c r="G88" s="438"/>
      <c r="H88" s="433">
        <f>skorsing!P111</f>
        <v>226.89315000000002</v>
      </c>
      <c r="I88" s="434"/>
      <c r="J88" s="433">
        <f>skorsing!U111</f>
        <v>1.8751500000000192</v>
      </c>
      <c r="K88" s="438"/>
      <c r="L88" s="433">
        <f>skorsing!V111</f>
        <v>1.8751500000000192</v>
      </c>
      <c r="M88" s="438"/>
      <c r="N88" s="433">
        <f>skorsing!W111</f>
        <v>0.70078217315055902</v>
      </c>
      <c r="O88" s="435"/>
      <c r="P88" s="434"/>
      <c r="Q88" s="433">
        <f>skorsing!X111</f>
        <v>0.70078217315055902</v>
      </c>
      <c r="R88" s="434"/>
    </row>
    <row r="89" spans="1:18" ht="15.75">
      <c r="A89" s="155"/>
      <c r="B89" s="194"/>
      <c r="C89" s="195"/>
      <c r="D89" s="195"/>
      <c r="E89" s="195"/>
    </row>
    <row r="90" spans="1:18" ht="15.75">
      <c r="A90" s="155"/>
      <c r="B90" s="167"/>
    </row>
    <row r="91" spans="1:18" ht="15.75">
      <c r="A91" s="156" t="s">
        <v>276</v>
      </c>
      <c r="B91" s="156" t="s">
        <v>275</v>
      </c>
    </row>
    <row r="92" spans="1:18" ht="15.75">
      <c r="A92" s="155"/>
      <c r="B92" s="160" t="s">
        <v>274</v>
      </c>
    </row>
    <row r="93" spans="1:18" ht="15.75">
      <c r="A93" s="155"/>
      <c r="B93" s="159">
        <v>1</v>
      </c>
      <c r="C93" s="155" t="s">
        <v>273</v>
      </c>
      <c r="H93" s="153" t="s">
        <v>228</v>
      </c>
      <c r="I93" s="155" t="str">
        <f>Laporan!D69</f>
        <v>Alat Dinyatakan Laik Pakai</v>
      </c>
    </row>
    <row r="94" spans="1:18" ht="15.75">
      <c r="A94" s="155"/>
      <c r="B94" s="159"/>
      <c r="C94" s="160" t="s">
        <v>272</v>
      </c>
      <c r="D94" s="158"/>
      <c r="E94" s="158"/>
      <c r="F94" s="158"/>
      <c r="G94" s="158"/>
      <c r="H94" s="158"/>
      <c r="I94" s="160" t="s">
        <v>271</v>
      </c>
      <c r="J94" s="158"/>
      <c r="K94" s="158"/>
    </row>
    <row r="95" spans="1:18" ht="15.75">
      <c r="A95" s="155"/>
      <c r="B95" s="178">
        <v>2</v>
      </c>
      <c r="C95" s="155" t="s">
        <v>270</v>
      </c>
      <c r="D95" s="155"/>
      <c r="E95" s="155"/>
      <c r="F95" s="155"/>
      <c r="G95" s="155"/>
      <c r="H95" s="155" t="s">
        <v>228</v>
      </c>
      <c r="I95" s="155" t="s">
        <v>269</v>
      </c>
    </row>
    <row r="96" spans="1:18" ht="15.75">
      <c r="A96" s="155"/>
      <c r="C96" s="160" t="s">
        <v>268</v>
      </c>
      <c r="D96" s="158"/>
      <c r="E96" s="158"/>
      <c r="F96" s="158"/>
      <c r="G96" s="158"/>
      <c r="H96" s="158"/>
      <c r="I96" s="160" t="s">
        <v>267</v>
      </c>
    </row>
    <row r="97" spans="1:19" ht="15.75">
      <c r="A97" s="155"/>
      <c r="C97" s="160"/>
      <c r="D97" s="158"/>
      <c r="E97" s="158"/>
      <c r="F97" s="158"/>
      <c r="G97" s="158"/>
      <c r="H97" s="158"/>
      <c r="I97" s="160"/>
    </row>
    <row r="98" spans="1:19" ht="15.75">
      <c r="A98" s="155"/>
      <c r="B98" s="155" t="s">
        <v>266</v>
      </c>
      <c r="C98" s="155"/>
      <c r="D98" s="155"/>
      <c r="E98" s="155"/>
      <c r="F98" s="155"/>
      <c r="G98" s="155"/>
      <c r="H98" s="155"/>
      <c r="I98" s="155"/>
      <c r="J98" s="155"/>
      <c r="K98" s="155"/>
      <c r="L98" s="155"/>
      <c r="M98" s="155"/>
      <c r="N98" s="155"/>
      <c r="O98" s="155"/>
      <c r="P98" s="155"/>
      <c r="Q98" s="155"/>
      <c r="R98" s="155"/>
      <c r="S98" s="155"/>
    </row>
    <row r="99" spans="1:19" ht="15.75">
      <c r="A99" s="155"/>
      <c r="B99" s="155" t="s">
        <v>265</v>
      </c>
      <c r="C99" s="155"/>
      <c r="D99" s="155"/>
      <c r="E99" s="155"/>
      <c r="F99" s="155"/>
      <c r="G99" s="155"/>
      <c r="H99" s="155"/>
      <c r="I99" s="155"/>
      <c r="J99" s="155"/>
      <c r="K99" s="155"/>
      <c r="L99" s="155"/>
      <c r="M99" s="155"/>
      <c r="N99" s="155"/>
      <c r="O99" s="155"/>
      <c r="P99" s="155"/>
      <c r="Q99" s="155"/>
      <c r="R99" s="155"/>
      <c r="S99" s="155"/>
    </row>
    <row r="100" spans="1:19" ht="30.75" customHeight="1">
      <c r="A100" s="155"/>
      <c r="B100" s="177">
        <v>1</v>
      </c>
      <c r="C100" s="473" t="s">
        <v>264</v>
      </c>
      <c r="D100" s="474"/>
      <c r="E100" s="474"/>
      <c r="F100" s="474"/>
      <c r="G100" s="474"/>
      <c r="H100" s="474"/>
      <c r="I100" s="474"/>
      <c r="J100" s="474"/>
      <c r="K100" s="474"/>
      <c r="L100" s="474"/>
      <c r="M100" s="474"/>
      <c r="N100" s="474"/>
      <c r="O100" s="474"/>
      <c r="P100" s="474"/>
      <c r="Q100" s="474"/>
      <c r="R100" s="474"/>
      <c r="S100" s="155"/>
    </row>
    <row r="101" spans="1:19" ht="29.25" customHeight="1">
      <c r="A101" s="155"/>
      <c r="B101" s="177"/>
      <c r="C101" s="467" t="s">
        <v>263</v>
      </c>
      <c r="D101" s="468"/>
      <c r="E101" s="468"/>
      <c r="F101" s="468"/>
      <c r="G101" s="468"/>
      <c r="H101" s="468"/>
      <c r="I101" s="468"/>
      <c r="J101" s="468"/>
      <c r="K101" s="468"/>
      <c r="L101" s="468"/>
      <c r="M101" s="468"/>
      <c r="N101" s="468"/>
      <c r="O101" s="468"/>
      <c r="P101" s="468"/>
      <c r="Q101" s="468"/>
      <c r="R101" s="468"/>
      <c r="S101" s="155"/>
    </row>
    <row r="102" spans="1:19" ht="15.75">
      <c r="A102" s="155"/>
      <c r="B102" s="177">
        <v>2</v>
      </c>
      <c r="C102" s="155" t="s">
        <v>262</v>
      </c>
      <c r="D102" s="155"/>
      <c r="E102" s="155"/>
      <c r="F102" s="155"/>
      <c r="G102" s="155"/>
      <c r="H102" s="155"/>
      <c r="I102" s="155"/>
      <c r="J102" s="155"/>
      <c r="K102" s="155"/>
      <c r="L102" s="155"/>
      <c r="M102" s="155"/>
      <c r="N102" s="155"/>
      <c r="O102" s="155"/>
      <c r="P102" s="155"/>
      <c r="Q102" s="155"/>
      <c r="R102" s="155"/>
      <c r="S102" s="155"/>
    </row>
    <row r="103" spans="1:19" ht="15.75">
      <c r="A103" s="155"/>
      <c r="B103" s="177"/>
      <c r="C103" s="160" t="s">
        <v>261</v>
      </c>
      <c r="D103" s="155"/>
      <c r="E103" s="155"/>
      <c r="F103" s="155"/>
      <c r="G103" s="155"/>
      <c r="H103" s="155"/>
      <c r="I103" s="155"/>
      <c r="J103" s="155"/>
      <c r="K103" s="155"/>
      <c r="L103" s="155"/>
      <c r="M103" s="155"/>
      <c r="N103" s="155"/>
      <c r="O103" s="155"/>
      <c r="P103" s="155"/>
      <c r="Q103" s="155"/>
      <c r="R103" s="155"/>
      <c r="S103" s="155"/>
    </row>
    <row r="104" spans="1:19" ht="15.75">
      <c r="A104" s="155"/>
      <c r="B104" s="177"/>
      <c r="C104" s="160"/>
      <c r="D104" s="155"/>
      <c r="E104" s="155"/>
      <c r="F104" s="155"/>
      <c r="G104" s="155"/>
      <c r="H104" s="155"/>
      <c r="I104" s="155"/>
      <c r="J104" s="155"/>
      <c r="K104" s="155"/>
      <c r="L104" s="155"/>
      <c r="M104" s="155"/>
      <c r="N104" s="155"/>
      <c r="O104" s="155"/>
      <c r="P104" s="155"/>
      <c r="Q104" s="155"/>
      <c r="R104" s="155"/>
      <c r="S104" s="155"/>
    </row>
    <row r="105" spans="1:19" ht="15.75">
      <c r="A105" s="155"/>
      <c r="B105" s="177"/>
      <c r="C105" s="160"/>
      <c r="D105" s="155"/>
      <c r="E105" s="155"/>
      <c r="F105" s="155"/>
      <c r="G105" s="155"/>
      <c r="H105" s="155"/>
      <c r="I105" s="155"/>
      <c r="J105" s="155"/>
      <c r="K105" s="155"/>
      <c r="L105" s="155"/>
      <c r="M105" s="155"/>
      <c r="N105" s="155"/>
      <c r="O105" s="155"/>
      <c r="P105" s="155"/>
      <c r="Q105" s="155"/>
      <c r="R105" s="155"/>
      <c r="S105" s="155"/>
    </row>
    <row r="106" spans="1:19" ht="15.75">
      <c r="A106" s="155"/>
      <c r="B106" s="177"/>
      <c r="C106" s="160"/>
      <c r="D106" s="155"/>
      <c r="E106" s="155"/>
      <c r="F106" s="155"/>
      <c r="G106" s="155"/>
      <c r="H106" s="155"/>
      <c r="I106" s="155"/>
      <c r="J106" s="155"/>
      <c r="K106" s="155"/>
      <c r="L106" s="155"/>
      <c r="M106" s="155"/>
      <c r="N106" s="155"/>
      <c r="O106" s="155"/>
      <c r="P106" s="155"/>
      <c r="Q106" s="155"/>
      <c r="R106" s="155"/>
      <c r="S106" s="155"/>
    </row>
    <row r="107" spans="1:19" ht="15.75">
      <c r="A107" s="155"/>
      <c r="B107" s="177"/>
      <c r="C107" s="160"/>
      <c r="D107" s="155"/>
      <c r="E107" s="155"/>
      <c r="F107" s="155"/>
      <c r="G107" s="155"/>
      <c r="H107" s="155"/>
      <c r="I107" s="155"/>
      <c r="J107" s="155"/>
      <c r="K107" s="155"/>
      <c r="L107" s="155"/>
      <c r="M107" s="155"/>
      <c r="N107" s="155"/>
      <c r="O107" s="155"/>
      <c r="P107" s="155"/>
      <c r="Q107" s="155"/>
      <c r="R107" s="155"/>
      <c r="S107" s="155"/>
    </row>
    <row r="108" spans="1:19" ht="15.75">
      <c r="A108" s="155"/>
      <c r="B108" s="177"/>
      <c r="C108" s="160"/>
      <c r="D108" s="155"/>
      <c r="E108" s="155"/>
      <c r="F108" s="155"/>
      <c r="G108" s="155"/>
      <c r="H108" s="155"/>
      <c r="I108" s="155"/>
      <c r="J108" s="155"/>
      <c r="K108" s="155"/>
      <c r="L108" s="155"/>
      <c r="M108" s="155"/>
      <c r="N108" s="155"/>
      <c r="O108" s="155"/>
      <c r="P108" s="155"/>
      <c r="Q108" s="155"/>
      <c r="R108" s="155"/>
      <c r="S108" s="155"/>
    </row>
    <row r="109" spans="1:19" ht="15.75">
      <c r="A109" s="155"/>
      <c r="B109" s="177"/>
      <c r="C109" s="160"/>
      <c r="D109" s="155"/>
      <c r="E109" s="155"/>
      <c r="F109" s="155"/>
      <c r="G109" s="155"/>
      <c r="H109" s="155"/>
      <c r="I109" s="155"/>
      <c r="J109" s="155"/>
      <c r="K109" s="155"/>
      <c r="L109" s="155"/>
      <c r="M109" s="155"/>
      <c r="N109" s="155"/>
      <c r="O109" s="155"/>
      <c r="P109" s="155"/>
      <c r="Q109" s="155"/>
      <c r="R109" s="155"/>
      <c r="S109" s="155"/>
    </row>
    <row r="110" spans="1:19" ht="15.75">
      <c r="A110" s="155"/>
      <c r="B110" s="177"/>
      <c r="C110" s="160"/>
      <c r="D110" s="155"/>
      <c r="E110" s="155"/>
      <c r="F110" s="155"/>
      <c r="G110" s="155"/>
      <c r="H110" s="155"/>
      <c r="I110" s="155"/>
      <c r="J110" s="155"/>
      <c r="K110" s="155"/>
      <c r="L110" s="155"/>
      <c r="M110" s="155"/>
      <c r="N110" s="155"/>
      <c r="O110" s="155"/>
      <c r="P110" s="155"/>
      <c r="Q110" s="155"/>
      <c r="R110" s="155"/>
      <c r="S110" s="155"/>
    </row>
    <row r="111" spans="1:19" ht="15.75">
      <c r="A111" s="155"/>
      <c r="B111" s="177"/>
      <c r="C111" s="160"/>
      <c r="D111" s="155"/>
      <c r="E111" s="155"/>
      <c r="F111" s="155"/>
      <c r="G111" s="155"/>
      <c r="H111" s="155"/>
      <c r="I111" s="155"/>
      <c r="J111" s="155"/>
      <c r="K111" s="155"/>
      <c r="L111" s="155"/>
      <c r="M111" s="155"/>
      <c r="N111" s="155"/>
      <c r="O111" s="155"/>
      <c r="P111" s="155"/>
      <c r="Q111" s="155"/>
      <c r="R111" s="155"/>
      <c r="S111" s="155"/>
    </row>
    <row r="112" spans="1:19" ht="15.75">
      <c r="A112" s="155"/>
      <c r="B112" s="177"/>
      <c r="C112" s="160"/>
      <c r="D112" s="155"/>
      <c r="E112" s="155"/>
      <c r="F112" s="155"/>
      <c r="G112" s="155"/>
      <c r="H112" s="155"/>
      <c r="I112" s="155"/>
      <c r="J112" s="155"/>
      <c r="K112" s="155"/>
      <c r="L112" s="155"/>
      <c r="M112" s="155"/>
      <c r="N112" s="155"/>
      <c r="O112" s="155"/>
      <c r="P112" s="155"/>
      <c r="Q112" s="155"/>
      <c r="R112" s="155"/>
      <c r="S112" s="155"/>
    </row>
    <row r="113" spans="1:19" ht="15.75">
      <c r="A113" s="155"/>
      <c r="B113" s="177"/>
      <c r="C113" s="160"/>
      <c r="D113" s="155"/>
      <c r="E113" s="155"/>
      <c r="F113" s="155"/>
      <c r="G113" s="155"/>
      <c r="H113" s="155"/>
      <c r="I113" s="155"/>
      <c r="J113" s="155"/>
      <c r="K113" s="155"/>
      <c r="L113" s="155"/>
      <c r="M113" s="155"/>
      <c r="N113" s="155"/>
      <c r="O113" s="155"/>
      <c r="P113" s="155"/>
      <c r="Q113" s="155"/>
      <c r="R113" s="155"/>
      <c r="S113" s="155"/>
    </row>
    <row r="114" spans="1:19" ht="15.75">
      <c r="A114" s="155"/>
      <c r="B114" s="177"/>
      <c r="C114" s="160"/>
      <c r="D114" s="155"/>
      <c r="E114" s="155"/>
      <c r="F114" s="155"/>
      <c r="G114" s="155"/>
      <c r="H114" s="155"/>
      <c r="I114" s="155"/>
      <c r="J114" s="155"/>
      <c r="K114" s="155"/>
      <c r="L114" s="155"/>
      <c r="M114" s="155"/>
      <c r="N114" s="155"/>
      <c r="O114" s="155"/>
      <c r="P114" s="155"/>
      <c r="Q114" s="155"/>
      <c r="R114" s="155"/>
      <c r="S114" s="155"/>
    </row>
    <row r="115" spans="1:19" ht="15.75">
      <c r="A115" s="155"/>
      <c r="B115" s="177"/>
      <c r="C115" s="160"/>
      <c r="D115" s="155"/>
      <c r="E115" s="155"/>
      <c r="F115" s="155"/>
      <c r="G115" s="155"/>
      <c r="H115" s="155"/>
      <c r="I115" s="155"/>
      <c r="J115" s="155"/>
      <c r="K115" s="155"/>
      <c r="L115" s="155"/>
      <c r="M115" s="155"/>
      <c r="N115" s="155"/>
      <c r="O115" s="155"/>
      <c r="P115" s="155"/>
      <c r="Q115" s="155"/>
      <c r="R115" s="155"/>
      <c r="S115" s="155"/>
    </row>
    <row r="116" spans="1:19" ht="45.75" customHeight="1">
      <c r="A116" s="155"/>
      <c r="B116" s="177">
        <v>3</v>
      </c>
      <c r="C116" s="452" t="s">
        <v>338</v>
      </c>
      <c r="D116" s="453"/>
      <c r="E116" s="453"/>
      <c r="F116" s="453"/>
      <c r="G116" s="453"/>
      <c r="H116" s="453"/>
      <c r="I116" s="453"/>
      <c r="J116" s="453"/>
      <c r="K116" s="453"/>
      <c r="L116" s="453"/>
      <c r="M116" s="453"/>
      <c r="N116" s="453"/>
      <c r="O116" s="453"/>
      <c r="P116" s="453"/>
      <c r="Q116" s="453"/>
      <c r="R116" s="453"/>
      <c r="S116" s="155"/>
    </row>
    <row r="117" spans="1:19" ht="32.25" customHeight="1">
      <c r="A117" s="155"/>
      <c r="B117" s="177"/>
      <c r="C117" s="454" t="s">
        <v>339</v>
      </c>
      <c r="D117" s="455"/>
      <c r="E117" s="455"/>
      <c r="F117" s="455"/>
      <c r="G117" s="455"/>
      <c r="H117" s="455"/>
      <c r="I117" s="455"/>
      <c r="J117" s="455"/>
      <c r="K117" s="455"/>
      <c r="L117" s="455"/>
      <c r="M117" s="455"/>
      <c r="N117" s="455"/>
      <c r="O117" s="455"/>
      <c r="P117" s="455"/>
      <c r="Q117" s="455"/>
      <c r="R117" s="455"/>
      <c r="S117" s="155"/>
    </row>
    <row r="118" spans="1:19" ht="32.25" customHeight="1">
      <c r="A118" s="201"/>
      <c r="B118" s="177">
        <v>4</v>
      </c>
      <c r="C118" s="206" t="s">
        <v>342</v>
      </c>
      <c r="D118" s="201"/>
      <c r="E118" s="201"/>
      <c r="F118" s="201"/>
      <c r="G118" s="201"/>
      <c r="H118" s="201"/>
      <c r="I118" s="201"/>
      <c r="J118" s="201"/>
      <c r="K118" s="201"/>
      <c r="L118" s="201"/>
      <c r="M118" s="201"/>
      <c r="N118" s="201"/>
      <c r="O118" s="201"/>
      <c r="P118" s="201"/>
      <c r="Q118" s="201"/>
      <c r="R118" s="201"/>
      <c r="S118" s="201"/>
    </row>
    <row r="119" spans="1:19" ht="32.25" customHeight="1">
      <c r="A119" s="201"/>
      <c r="B119" s="177"/>
      <c r="C119" s="475" t="s">
        <v>343</v>
      </c>
      <c r="D119" s="476"/>
      <c r="E119" s="476"/>
      <c r="F119" s="476"/>
      <c r="G119" s="476"/>
      <c r="H119" s="476"/>
      <c r="I119" s="476"/>
      <c r="J119" s="476"/>
      <c r="K119" s="476"/>
      <c r="L119" s="476"/>
      <c r="M119" s="476"/>
      <c r="N119" s="476"/>
      <c r="O119" s="476"/>
      <c r="P119" s="476"/>
      <c r="Q119" s="476"/>
      <c r="R119" s="476"/>
      <c r="S119" s="201"/>
    </row>
    <row r="120" spans="1:19" ht="15.75">
      <c r="A120" s="155"/>
      <c r="B120" s="177">
        <v>5</v>
      </c>
      <c r="C120" s="155" t="s">
        <v>260</v>
      </c>
      <c r="D120" s="155"/>
      <c r="E120" s="155"/>
      <c r="F120" s="155"/>
      <c r="G120" s="155"/>
      <c r="H120" s="155"/>
      <c r="I120" s="155"/>
      <c r="J120" s="155"/>
      <c r="K120" s="155"/>
      <c r="L120" s="155"/>
      <c r="M120" s="155"/>
      <c r="N120" s="155"/>
      <c r="O120" s="155"/>
      <c r="P120" s="155"/>
      <c r="Q120" s="155"/>
      <c r="R120" s="155"/>
      <c r="S120" s="155"/>
    </row>
    <row r="121" spans="1:19" ht="29.25" customHeight="1">
      <c r="A121" s="155"/>
      <c r="B121" s="176"/>
      <c r="C121" s="467" t="s">
        <v>259</v>
      </c>
      <c r="D121" s="468"/>
      <c r="E121" s="468"/>
      <c r="F121" s="468"/>
      <c r="G121" s="468"/>
      <c r="H121" s="468"/>
      <c r="I121" s="468"/>
      <c r="J121" s="468"/>
      <c r="K121" s="468"/>
      <c r="L121" s="468"/>
      <c r="M121" s="468"/>
      <c r="N121" s="468"/>
      <c r="O121" s="468"/>
      <c r="P121" s="468"/>
      <c r="Q121" s="468"/>
      <c r="R121" s="468"/>
      <c r="S121" s="155"/>
    </row>
    <row r="122" spans="1:19" ht="15.75">
      <c r="A122" s="155"/>
      <c r="B122" s="155"/>
      <c r="C122" s="155"/>
      <c r="D122" s="155"/>
      <c r="E122" s="155"/>
      <c r="F122" s="155"/>
      <c r="G122" s="155"/>
      <c r="H122" s="155"/>
      <c r="I122" s="155"/>
      <c r="J122" s="155"/>
      <c r="K122" s="155"/>
      <c r="L122" s="155"/>
      <c r="M122" s="155"/>
      <c r="N122" s="155"/>
      <c r="O122" s="155"/>
      <c r="P122" s="155"/>
      <c r="Q122" s="155"/>
      <c r="R122" s="155"/>
      <c r="S122" s="155"/>
    </row>
    <row r="123" spans="1:19" ht="15.75">
      <c r="A123" s="155"/>
      <c r="B123" s="155"/>
      <c r="C123" s="155"/>
      <c r="D123" s="155"/>
      <c r="E123" s="155"/>
      <c r="F123" s="155"/>
      <c r="G123" s="155"/>
      <c r="H123" s="155"/>
      <c r="I123" s="155"/>
      <c r="J123" s="155"/>
      <c r="K123" s="155"/>
      <c r="L123" s="155"/>
      <c r="M123" s="155"/>
      <c r="N123" s="155"/>
      <c r="O123" s="155"/>
      <c r="P123" s="155"/>
      <c r="Q123" s="155"/>
      <c r="R123" s="155"/>
      <c r="S123" s="155"/>
    </row>
    <row r="124" spans="1:19" ht="15.75">
      <c r="A124" s="155"/>
      <c r="B124" s="155"/>
      <c r="C124" s="155"/>
      <c r="D124" s="155"/>
      <c r="E124" s="155"/>
      <c r="F124" s="155"/>
      <c r="G124" s="155"/>
      <c r="H124" s="155"/>
      <c r="I124" s="155"/>
      <c r="J124" s="155"/>
      <c r="K124" s="155"/>
      <c r="L124" s="155"/>
      <c r="M124" s="155"/>
      <c r="N124" s="155"/>
      <c r="O124" s="155"/>
      <c r="P124" s="155"/>
      <c r="Q124" s="155"/>
      <c r="R124" s="155"/>
      <c r="S124" s="155"/>
    </row>
    <row r="125" spans="1:19" ht="15.75">
      <c r="A125" s="155"/>
      <c r="B125" s="155"/>
      <c r="C125" s="155" t="s">
        <v>258</v>
      </c>
      <c r="D125" s="155"/>
      <c r="E125" s="155"/>
      <c r="F125" s="155"/>
      <c r="G125" s="155"/>
      <c r="H125" s="155"/>
      <c r="I125" s="155"/>
      <c r="J125" s="155"/>
      <c r="K125" s="155"/>
      <c r="L125" s="155"/>
      <c r="M125" s="155"/>
      <c r="N125" s="155"/>
      <c r="O125" s="155"/>
      <c r="P125" s="155"/>
      <c r="Q125" s="155"/>
      <c r="R125" s="155"/>
      <c r="S125" s="155"/>
    </row>
    <row r="126" spans="1:19" ht="15.75">
      <c r="A126" s="155"/>
      <c r="B126" s="155"/>
      <c r="C126" s="160" t="s">
        <v>257</v>
      </c>
      <c r="D126" s="155"/>
      <c r="E126" s="155"/>
      <c r="F126" s="155"/>
      <c r="G126" s="155"/>
      <c r="H126" s="155"/>
      <c r="I126" s="155"/>
      <c r="J126" s="155"/>
      <c r="K126" s="155"/>
      <c r="L126" s="155"/>
      <c r="M126" s="155"/>
      <c r="N126" s="155"/>
      <c r="O126" s="155"/>
      <c r="P126" s="155"/>
      <c r="Q126" s="155"/>
      <c r="R126" s="155"/>
      <c r="S126" s="155"/>
    </row>
    <row r="127" spans="1:19" ht="15.75">
      <c r="A127" s="155"/>
      <c r="B127" s="155"/>
      <c r="C127" s="155"/>
      <c r="D127" s="155"/>
      <c r="E127" s="155"/>
      <c r="F127" s="155"/>
      <c r="G127" s="155"/>
      <c r="H127" s="155"/>
      <c r="I127" s="155"/>
      <c r="J127" s="155"/>
      <c r="K127" s="155"/>
      <c r="L127" s="155"/>
      <c r="M127" s="155"/>
      <c r="N127" s="155"/>
      <c r="O127" s="155"/>
      <c r="P127" s="155"/>
      <c r="Q127" s="155"/>
      <c r="R127" s="155"/>
      <c r="S127" s="155"/>
    </row>
    <row r="128" spans="1:19" ht="15.75">
      <c r="A128" s="155"/>
      <c r="B128" s="155"/>
      <c r="C128" s="155"/>
      <c r="D128" s="155"/>
      <c r="E128" s="155"/>
      <c r="F128" s="155"/>
      <c r="G128" s="155"/>
      <c r="H128" s="155"/>
      <c r="I128" s="155"/>
      <c r="J128" s="155"/>
      <c r="K128" s="155"/>
      <c r="L128" s="155"/>
      <c r="M128" s="155"/>
      <c r="N128" s="155"/>
      <c r="O128" s="155"/>
      <c r="P128" s="155"/>
      <c r="Q128" s="155"/>
      <c r="R128" s="155"/>
      <c r="S128" s="155"/>
    </row>
    <row r="129" spans="1:19" ht="15.75">
      <c r="A129" s="155"/>
      <c r="B129" s="155"/>
      <c r="C129" s="155"/>
      <c r="D129" s="155"/>
      <c r="E129" s="155"/>
      <c r="F129" s="155"/>
      <c r="G129" s="155"/>
      <c r="H129" s="155"/>
      <c r="I129" s="155"/>
      <c r="J129" s="155"/>
      <c r="K129" s="155"/>
      <c r="L129" s="155"/>
      <c r="M129" s="155"/>
      <c r="N129" s="155"/>
      <c r="O129" s="155"/>
      <c r="P129" s="155"/>
      <c r="Q129" s="155"/>
      <c r="R129" s="155"/>
      <c r="S129" s="155"/>
    </row>
    <row r="130" spans="1:19" ht="15.75">
      <c r="A130" s="155"/>
      <c r="B130" s="155"/>
      <c r="C130" s="155"/>
      <c r="D130" s="155"/>
      <c r="E130" s="155"/>
      <c r="F130" s="155"/>
      <c r="G130" s="155"/>
      <c r="H130" s="155"/>
      <c r="I130" s="155"/>
      <c r="J130" s="155"/>
      <c r="K130" s="155"/>
      <c r="L130" s="155"/>
      <c r="M130" s="155"/>
      <c r="N130" s="155"/>
      <c r="O130" s="155"/>
      <c r="P130" s="155"/>
      <c r="Q130" s="155"/>
      <c r="R130" s="155"/>
      <c r="S130" s="155"/>
    </row>
    <row r="131" spans="1:19" ht="15.75">
      <c r="A131" s="155"/>
      <c r="B131" s="155"/>
      <c r="C131" s="207" t="s">
        <v>345</v>
      </c>
      <c r="D131" s="155"/>
      <c r="E131" s="155"/>
      <c r="F131" s="155"/>
      <c r="G131" s="155"/>
      <c r="H131" s="155"/>
      <c r="I131" s="155"/>
      <c r="J131" s="155"/>
      <c r="K131" s="155"/>
      <c r="L131" s="155"/>
      <c r="M131" s="155"/>
      <c r="N131" s="155"/>
      <c r="O131" s="155"/>
      <c r="P131" s="155"/>
      <c r="Q131" s="155"/>
      <c r="R131" s="155"/>
      <c r="S131" s="155"/>
    </row>
    <row r="132" spans="1:19" ht="15.75">
      <c r="A132" s="155"/>
      <c r="B132" s="155"/>
      <c r="C132" s="155" t="s">
        <v>256</v>
      </c>
      <c r="D132" s="155"/>
      <c r="E132" s="155"/>
      <c r="F132" s="155"/>
      <c r="G132" s="155"/>
      <c r="H132" s="155"/>
      <c r="I132" s="155"/>
      <c r="J132" s="155"/>
      <c r="K132" s="155"/>
      <c r="L132" s="155"/>
      <c r="M132" s="155"/>
      <c r="N132" s="155"/>
      <c r="O132" s="155"/>
      <c r="P132" s="155"/>
      <c r="Q132" s="155"/>
      <c r="R132" s="155"/>
      <c r="S132" s="155"/>
    </row>
    <row r="133" spans="1:19" ht="15.75">
      <c r="A133" s="155"/>
      <c r="B133" s="155"/>
      <c r="C133" s="160" t="s">
        <v>255</v>
      </c>
      <c r="D133" s="155"/>
      <c r="E133" s="155"/>
      <c r="F133" s="155"/>
      <c r="G133" s="155"/>
      <c r="H133" s="155"/>
      <c r="I133" s="155"/>
      <c r="J133" s="155"/>
      <c r="K133" s="155"/>
      <c r="L133" s="155"/>
      <c r="M133" s="155"/>
      <c r="N133" s="155"/>
      <c r="O133" s="155"/>
      <c r="P133" s="155"/>
      <c r="Q133" s="155"/>
      <c r="R133" s="155"/>
      <c r="S133" s="155"/>
    </row>
    <row r="134" spans="1:19" ht="15.75">
      <c r="A134" s="155"/>
      <c r="B134" s="155"/>
      <c r="C134" s="155"/>
      <c r="D134" s="155"/>
      <c r="E134" s="155"/>
      <c r="F134" s="155"/>
      <c r="G134" s="155"/>
      <c r="H134" s="155"/>
      <c r="I134" s="155"/>
      <c r="J134" s="155"/>
      <c r="K134" s="155"/>
      <c r="L134" s="155"/>
      <c r="M134" s="155"/>
      <c r="N134" s="155"/>
      <c r="O134" s="155"/>
      <c r="P134" s="155"/>
      <c r="Q134" s="155"/>
      <c r="R134" s="155"/>
      <c r="S134" s="155"/>
    </row>
    <row r="135" spans="1:19" ht="15.75">
      <c r="A135" s="155"/>
      <c r="B135" s="155"/>
      <c r="C135" s="155"/>
      <c r="D135" s="155"/>
      <c r="E135" s="155"/>
      <c r="F135" s="155"/>
      <c r="G135" s="155"/>
      <c r="H135" s="155"/>
      <c r="I135" s="155"/>
      <c r="J135" s="155"/>
      <c r="K135" s="155"/>
      <c r="L135" s="155"/>
      <c r="M135" s="155"/>
      <c r="N135" s="155"/>
      <c r="O135" s="155"/>
      <c r="P135" s="155"/>
      <c r="Q135" s="155"/>
      <c r="R135" s="155"/>
      <c r="S135" s="155"/>
    </row>
    <row r="136" spans="1:19" ht="15.75">
      <c r="A136" s="404" t="s">
        <v>254</v>
      </c>
      <c r="B136" s="404"/>
      <c r="C136" s="404"/>
      <c r="D136" s="404"/>
      <c r="E136" s="404"/>
      <c r="F136" s="404"/>
      <c r="G136" s="404"/>
      <c r="H136" s="404"/>
      <c r="I136" s="404"/>
      <c r="J136" s="404"/>
      <c r="K136" s="404"/>
      <c r="L136" s="404"/>
      <c r="M136" s="404"/>
      <c r="N136" s="404"/>
      <c r="O136" s="404"/>
      <c r="P136" s="404"/>
      <c r="Q136" s="404"/>
      <c r="R136" s="404"/>
      <c r="S136" s="404"/>
    </row>
    <row r="137" spans="1:19">
      <c r="A137" s="405" t="s">
        <v>253</v>
      </c>
      <c r="B137" s="405"/>
      <c r="C137" s="405"/>
      <c r="D137" s="405"/>
      <c r="E137" s="405"/>
      <c r="F137" s="405"/>
      <c r="G137" s="405"/>
      <c r="H137" s="405"/>
      <c r="I137" s="405"/>
      <c r="J137" s="405"/>
      <c r="K137" s="405"/>
      <c r="L137" s="405"/>
      <c r="M137" s="405"/>
      <c r="N137" s="405"/>
      <c r="O137" s="405"/>
      <c r="P137" s="405"/>
      <c r="Q137" s="405"/>
      <c r="R137" s="405"/>
      <c r="S137" s="405"/>
    </row>
    <row r="138" spans="1:19" ht="15.75">
      <c r="A138" s="175"/>
      <c r="B138" s="175"/>
      <c r="C138" s="175"/>
      <c r="D138" s="175"/>
      <c r="E138" s="175"/>
      <c r="F138" s="175"/>
      <c r="G138" s="175"/>
      <c r="H138" s="175"/>
      <c r="I138" s="175"/>
      <c r="J138" s="175"/>
      <c r="K138" s="175"/>
      <c r="L138" s="175"/>
      <c r="M138" s="175"/>
      <c r="N138" s="175"/>
      <c r="O138" s="175"/>
      <c r="P138" s="175"/>
      <c r="Q138" s="175"/>
      <c r="R138" s="175"/>
      <c r="S138" s="175"/>
    </row>
    <row r="139" spans="1:19" s="73" customFormat="1"/>
    <row r="140" spans="1:19" s="73" customFormat="1"/>
  </sheetData>
  <mergeCells count="135">
    <mergeCell ref="C119:R119"/>
    <mergeCell ref="Q8:S8"/>
    <mergeCell ref="A12:S12"/>
    <mergeCell ref="A13:S13"/>
    <mergeCell ref="A14:S14"/>
    <mergeCell ref="B55:G55"/>
    <mergeCell ref="J18:L18"/>
    <mergeCell ref="J30:M30"/>
    <mergeCell ref="J32:M32"/>
    <mergeCell ref="J41:K41"/>
    <mergeCell ref="J28:M28"/>
    <mergeCell ref="H55:K55"/>
    <mergeCell ref="O55:R55"/>
    <mergeCell ref="O56:R56"/>
    <mergeCell ref="O57:R57"/>
    <mergeCell ref="L55:N55"/>
    <mergeCell ref="L56:N56"/>
    <mergeCell ref="L57:N57"/>
    <mergeCell ref="B58:G58"/>
    <mergeCell ref="H58:K58"/>
    <mergeCell ref="H56:K56"/>
    <mergeCell ref="H57:K57"/>
    <mergeCell ref="B56:G56"/>
    <mergeCell ref="B57:G57"/>
    <mergeCell ref="A136:S136"/>
    <mergeCell ref="C64:J64"/>
    <mergeCell ref="C65:J65"/>
    <mergeCell ref="K65:N65"/>
    <mergeCell ref="C121:R121"/>
    <mergeCell ref="C101:R101"/>
    <mergeCell ref="K63:N63"/>
    <mergeCell ref="K64:N64"/>
    <mergeCell ref="L58:N58"/>
    <mergeCell ref="O63:R63"/>
    <mergeCell ref="O64:R64"/>
    <mergeCell ref="O65:R65"/>
    <mergeCell ref="H59:K59"/>
    <mergeCell ref="O58:R58"/>
    <mergeCell ref="O66:R66"/>
    <mergeCell ref="O67:R67"/>
    <mergeCell ref="C66:J66"/>
    <mergeCell ref="C67:J67"/>
    <mergeCell ref="K66:N66"/>
    <mergeCell ref="K67:N67"/>
    <mergeCell ref="C100:R100"/>
    <mergeCell ref="B76:E76"/>
    <mergeCell ref="B77:E77"/>
    <mergeCell ref="B78:E78"/>
    <mergeCell ref="B86:E86"/>
    <mergeCell ref="H74:I74"/>
    <mergeCell ref="F74:G74"/>
    <mergeCell ref="F77:G77"/>
    <mergeCell ref="F78:G78"/>
    <mergeCell ref="F86:G86"/>
    <mergeCell ref="F87:G87"/>
    <mergeCell ref="N72:R72"/>
    <mergeCell ref="N73:R73"/>
    <mergeCell ref="N74:P74"/>
    <mergeCell ref="Q74:R74"/>
    <mergeCell ref="N76:P76"/>
    <mergeCell ref="N77:P77"/>
    <mergeCell ref="J72:M72"/>
    <mergeCell ref="J74:K74"/>
    <mergeCell ref="L74:M74"/>
    <mergeCell ref="J76:K76"/>
    <mergeCell ref="J77:K77"/>
    <mergeCell ref="J78:K78"/>
    <mergeCell ref="L76:M76"/>
    <mergeCell ref="L77:M77"/>
    <mergeCell ref="L78:M78"/>
    <mergeCell ref="N87:P87"/>
    <mergeCell ref="Q75:R75"/>
    <mergeCell ref="A137:S137"/>
    <mergeCell ref="B59:G59"/>
    <mergeCell ref="L59:N59"/>
    <mergeCell ref="O59:R59"/>
    <mergeCell ref="B63:B64"/>
    <mergeCell ref="C63:J63"/>
    <mergeCell ref="C116:R116"/>
    <mergeCell ref="C117:R117"/>
    <mergeCell ref="B72:E72"/>
    <mergeCell ref="F72:I72"/>
    <mergeCell ref="F73:I73"/>
    <mergeCell ref="F88:G88"/>
    <mergeCell ref="H86:I86"/>
    <mergeCell ref="H87:I87"/>
    <mergeCell ref="H88:I88"/>
    <mergeCell ref="J73:M73"/>
    <mergeCell ref="J86:K86"/>
    <mergeCell ref="J87:K87"/>
    <mergeCell ref="J88:K88"/>
    <mergeCell ref="L86:M86"/>
    <mergeCell ref="B87:E87"/>
    <mergeCell ref="B88:E88"/>
    <mergeCell ref="F76:G76"/>
    <mergeCell ref="H76:I76"/>
    <mergeCell ref="N88:P88"/>
    <mergeCell ref="Q76:R76"/>
    <mergeCell ref="Q77:R77"/>
    <mergeCell ref="Q78:R78"/>
    <mergeCell ref="Q86:R86"/>
    <mergeCell ref="Q87:R87"/>
    <mergeCell ref="Q88:R88"/>
    <mergeCell ref="L87:M87"/>
    <mergeCell ref="L88:M88"/>
    <mergeCell ref="N78:P78"/>
    <mergeCell ref="N86:P86"/>
    <mergeCell ref="B82:E82"/>
    <mergeCell ref="F82:I82"/>
    <mergeCell ref="J82:M82"/>
    <mergeCell ref="N82:R82"/>
    <mergeCell ref="B73:E75"/>
    <mergeCell ref="F75:G75"/>
    <mergeCell ref="H75:I75"/>
    <mergeCell ref="J75:K75"/>
    <mergeCell ref="L75:M75"/>
    <mergeCell ref="H77:I77"/>
    <mergeCell ref="H78:I78"/>
    <mergeCell ref="N75:P75"/>
    <mergeCell ref="F85:G85"/>
    <mergeCell ref="H85:I85"/>
    <mergeCell ref="J85:K85"/>
    <mergeCell ref="L85:M85"/>
    <mergeCell ref="N85:P85"/>
    <mergeCell ref="Q85:R85"/>
    <mergeCell ref="B83:E85"/>
    <mergeCell ref="F83:I83"/>
    <mergeCell ref="J83:M83"/>
    <mergeCell ref="N83:R83"/>
    <mergeCell ref="F84:G84"/>
    <mergeCell ref="H84:I84"/>
    <mergeCell ref="J84:K84"/>
    <mergeCell ref="L84:M84"/>
    <mergeCell ref="N84:P84"/>
    <mergeCell ref="Q84:R84"/>
  </mergeCells>
  <pageMargins left="0.70866141732283472" right="0.70866141732283472" top="0.74803149606299213" bottom="0.74803149606299213" header="0.31496062992125984" footer="0.31496062992125984"/>
  <pageSetup orientation="portrait" horizontalDpi="360" verticalDpi="360" r:id="rId1"/>
  <headerFooter>
    <oddHeader>&amp;C
&amp;G</oddHeader>
    <oddFooter xml:space="preserve">&amp;R
halaman  &amp;P+1 dari 5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input data</vt:lpstr>
      <vt:lpstr>skorsing</vt:lpstr>
      <vt:lpstr>standar</vt:lpstr>
      <vt:lpstr>budget</vt:lpstr>
      <vt:lpstr>Laporan</vt:lpstr>
      <vt:lpstr>Cover</vt:lpstr>
      <vt:lpstr>Laporan Print</vt:lpstr>
      <vt:lpstr>Cover!Print_Area</vt:lpstr>
      <vt:lpstr>'Laporan Print'!Print_Area</vt:lpstr>
      <vt:lpstr>Cover!Print_Titles</vt:lpstr>
      <vt:lpstr>'Laporan Print'!Print_Titles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2025-07-30T07:02:50Z</cp:lastPrinted>
  <dcterms:created xsi:type="dcterms:W3CDTF">2025-07-30T02:21:52Z</dcterms:created>
  <dcterms:modified xsi:type="dcterms:W3CDTF">2026-09-08T07:29:08Z</dcterms:modified>
</cp:coreProperties>
</file>