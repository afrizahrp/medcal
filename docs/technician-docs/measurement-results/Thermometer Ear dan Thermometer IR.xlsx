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 untuk pa deden\"/>
    </mc:Choice>
  </mc:AlternateContent>
  <xr:revisionPtr revIDLastSave="0" documentId="13_ncr:1_{0DC275BF-A9C8-4603-B5A3-1EE5F0C02E40}" xr6:coauthVersionLast="45" xr6:coauthVersionMax="45" xr10:uidLastSave="{00000000-0000-0000-0000-000000000000}"/>
  <bookViews>
    <workbookView xWindow="-120" yWindow="-120" windowWidth="29040" windowHeight="15840" xr2:uid="{46ADE574-86A4-411C-8899-95D83B68BBCD}"/>
  </bookViews>
  <sheets>
    <sheet name="Input Data" sheetId="2" r:id="rId1"/>
    <sheet name="skorsing" sheetId="3" r:id="rId2"/>
    <sheet name="budget" sheetId="1" r:id="rId3"/>
    <sheet name="Laporan" sheetId="4" r:id="rId4"/>
    <sheet name="Cover" sheetId="5" r:id="rId5"/>
    <sheet name="Laporan Print" sheetId="6" r:id="rId6"/>
  </sheets>
  <externalReferences>
    <externalReference r:id="rId7"/>
    <externalReference r:id="rId8"/>
    <externalReference r:id="rId9"/>
  </externalReferences>
  <definedNames>
    <definedName name="_Toc497991472" localSheetId="0">'Input Data'!#REF!</definedName>
    <definedName name="_Toc497991473" localSheetId="0">'Input Data'!#REF!</definedName>
    <definedName name="_Toc497991474" localSheetId="0">'Input Data'!#REF!</definedName>
    <definedName name="_xlnm.Print_Area" localSheetId="4">Cover!$A$1:$S$44</definedName>
    <definedName name="_xlnm.Print_Area" localSheetId="5">'Laporan Print'!$A$1:$R$107</definedName>
    <definedName name="_xlnm.Print_Titles" localSheetId="4">Cover!$1:$9</definedName>
    <definedName name="_xlnm.Print_Titles" localSheetId="5">'Laporan Print'!$1:$9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5" i="4" l="1"/>
  <c r="F26" i="4"/>
  <c r="F28" i="4"/>
  <c r="F30" i="4"/>
  <c r="F38" i="1"/>
  <c r="F37" i="1"/>
  <c r="H37" i="1" s="1"/>
  <c r="J37" i="1" s="1"/>
  <c r="F36" i="1"/>
  <c r="H36" i="1" s="1"/>
  <c r="J36" i="1" s="1"/>
  <c r="F35" i="1"/>
  <c r="H35" i="1" s="1"/>
  <c r="J35" i="1" s="1"/>
  <c r="H34" i="1"/>
  <c r="J34" i="1" s="1"/>
  <c r="G33" i="1"/>
  <c r="F24" i="1"/>
  <c r="F23" i="1"/>
  <c r="H23" i="1" s="1"/>
  <c r="J23" i="1" s="1"/>
  <c r="F22" i="1"/>
  <c r="H22" i="1" s="1"/>
  <c r="J22" i="1" s="1"/>
  <c r="L22" i="1" s="1"/>
  <c r="F21" i="1"/>
  <c r="H21" i="1" s="1"/>
  <c r="J21" i="1" s="1"/>
  <c r="H20" i="1"/>
  <c r="J20" i="1" s="1"/>
  <c r="G19" i="1"/>
  <c r="F10" i="1"/>
  <c r="F9" i="1"/>
  <c r="H9" i="1" s="1"/>
  <c r="J9" i="1" s="1"/>
  <c r="F8" i="1"/>
  <c r="H8" i="1"/>
  <c r="J8" i="1" s="1"/>
  <c r="H7" i="1"/>
  <c r="J7" i="1" s="1"/>
  <c r="F7" i="1"/>
  <c r="H6" i="1"/>
  <c r="J6" i="1" s="1"/>
  <c r="G5" i="1"/>
  <c r="S18" i="3"/>
  <c r="S19" i="3"/>
  <c r="S20" i="3"/>
  <c r="S17" i="3"/>
  <c r="K35" i="1" l="1"/>
  <c r="L35" i="1"/>
  <c r="K34" i="1"/>
  <c r="L34" i="1"/>
  <c r="L37" i="1"/>
  <c r="K37" i="1"/>
  <c r="L36" i="1"/>
  <c r="K36" i="1"/>
  <c r="L23" i="1"/>
  <c r="K23" i="1"/>
  <c r="K21" i="1"/>
  <c r="L21" i="1"/>
  <c r="K20" i="1"/>
  <c r="L20" i="1"/>
  <c r="K22" i="1"/>
  <c r="L9" i="1"/>
  <c r="K9" i="1"/>
  <c r="L7" i="1"/>
  <c r="K7" i="1"/>
  <c r="K8" i="1"/>
  <c r="L8" i="1"/>
  <c r="L6" i="1"/>
  <c r="K6" i="1"/>
  <c r="B51" i="3"/>
  <c r="B38" i="4" s="1"/>
  <c r="B68" i="6" s="1"/>
  <c r="B52" i="3"/>
  <c r="B39" i="4" s="1"/>
  <c r="B69" i="6" s="1"/>
  <c r="B50" i="3"/>
  <c r="B37" i="4" s="1"/>
  <c r="B67" i="6" s="1"/>
  <c r="G52" i="3"/>
  <c r="L52" i="3" s="1"/>
  <c r="F52" i="3"/>
  <c r="K52" i="3" s="1"/>
  <c r="E52" i="3"/>
  <c r="J52" i="3" s="1"/>
  <c r="D52" i="3"/>
  <c r="I52" i="3" s="1"/>
  <c r="C52" i="3"/>
  <c r="G51" i="3"/>
  <c r="L51" i="3" s="1"/>
  <c r="F51" i="3"/>
  <c r="K51" i="3" s="1"/>
  <c r="E51" i="3"/>
  <c r="J51" i="3" s="1"/>
  <c r="D51" i="3"/>
  <c r="I51" i="3" s="1"/>
  <c r="C51" i="3"/>
  <c r="G50" i="3"/>
  <c r="L50" i="3" s="1"/>
  <c r="F50" i="3"/>
  <c r="K50" i="3" s="1"/>
  <c r="E50" i="3"/>
  <c r="J50" i="3" s="1"/>
  <c r="D50" i="3"/>
  <c r="I50" i="3" s="1"/>
  <c r="C50" i="3"/>
  <c r="P50" i="3" l="1"/>
  <c r="Q50" i="3" s="1"/>
  <c r="E5" i="1" s="1"/>
  <c r="H5" i="1" s="1"/>
  <c r="J5" i="1" s="1"/>
  <c r="P51" i="3"/>
  <c r="Q51" i="3" s="1"/>
  <c r="E19" i="1" s="1"/>
  <c r="H19" i="1" s="1"/>
  <c r="J19" i="1" s="1"/>
  <c r="P52" i="3"/>
  <c r="Q52" i="3" s="1"/>
  <c r="E33" i="1" s="1"/>
  <c r="H33" i="1" s="1"/>
  <c r="J33" i="1" s="1"/>
  <c r="H51" i="3"/>
  <c r="M51" i="3" s="1"/>
  <c r="O51" i="3" s="1"/>
  <c r="H52" i="3"/>
  <c r="M52" i="3" s="1"/>
  <c r="H50" i="3"/>
  <c r="M50" i="3" l="1"/>
  <c r="D37" i="4" s="1"/>
  <c r="H67" i="6" s="1"/>
  <c r="K33" i="1"/>
  <c r="L33" i="1"/>
  <c r="O52" i="3"/>
  <c r="D39" i="4"/>
  <c r="H69" i="6" s="1"/>
  <c r="L19" i="1"/>
  <c r="K19" i="1"/>
  <c r="K5" i="1"/>
  <c r="L5" i="1"/>
  <c r="D38" i="4"/>
  <c r="H68" i="6" s="1"/>
  <c r="O50" i="3" l="1"/>
  <c r="E37" i="4"/>
  <c r="J67" i="6" s="1"/>
  <c r="E39" i="4"/>
  <c r="J69" i="6" s="1"/>
  <c r="E38" i="4"/>
  <c r="J68" i="6" s="1"/>
  <c r="C44" i="3"/>
  <c r="D44" i="3"/>
  <c r="E44" i="3"/>
  <c r="F44" i="3"/>
  <c r="G44" i="3"/>
  <c r="C45" i="3"/>
  <c r="D45" i="3"/>
  <c r="E45" i="3"/>
  <c r="F45" i="3"/>
  <c r="G45" i="3"/>
  <c r="D43" i="3"/>
  <c r="E43" i="3"/>
  <c r="F43" i="3"/>
  <c r="G43" i="3"/>
  <c r="C43" i="3"/>
  <c r="B44" i="3"/>
  <c r="B45" i="3"/>
  <c r="B43" i="3"/>
  <c r="B40" i="3"/>
  <c r="N51" i="3" l="1"/>
  <c r="C38" i="4" s="1"/>
  <c r="E68" i="6" s="1"/>
  <c r="N52" i="3"/>
  <c r="C39" i="4" s="1"/>
  <c r="E69" i="6" s="1"/>
  <c r="N50" i="3"/>
  <c r="C37" i="4" s="1"/>
  <c r="E67" i="6" s="1"/>
  <c r="C2" i="3"/>
  <c r="C5" i="3"/>
  <c r="Q8" i="5" s="1"/>
  <c r="Q8" i="6" s="1"/>
  <c r="G5" i="3"/>
  <c r="C6" i="3"/>
  <c r="D6" i="4" s="1"/>
  <c r="G6" i="3"/>
  <c r="D5" i="4" s="1"/>
  <c r="G28" i="5" s="1"/>
  <c r="C7" i="3"/>
  <c r="D8" i="4" s="1"/>
  <c r="G7" i="3"/>
  <c r="F7" i="4" s="1"/>
  <c r="J26" i="6" s="1"/>
  <c r="C8" i="3"/>
  <c r="D9" i="4" s="1"/>
  <c r="G8" i="3"/>
  <c r="F8" i="4" s="1"/>
  <c r="J28" i="6" s="1"/>
  <c r="C9" i="3"/>
  <c r="D10" i="4" s="1"/>
  <c r="G9" i="3"/>
  <c r="F9" i="4" s="1"/>
  <c r="J30" i="6" s="1"/>
  <c r="C10" i="3"/>
  <c r="G10" i="3"/>
  <c r="F10" i="4" s="1"/>
  <c r="C11" i="3"/>
  <c r="C16" i="3"/>
  <c r="C15" i="4" s="1"/>
  <c r="B57" i="6" s="1"/>
  <c r="E16" i="3"/>
  <c r="E15" i="4" s="1"/>
  <c r="H57" i="6" s="1"/>
  <c r="F16" i="3"/>
  <c r="F15" i="4" s="1"/>
  <c r="G16" i="3"/>
  <c r="G15" i="4" s="1"/>
  <c r="O57" i="6" s="1"/>
  <c r="C17" i="3"/>
  <c r="C16" i="4" s="1"/>
  <c r="B58" i="6" s="1"/>
  <c r="E17" i="3"/>
  <c r="E16" i="4" s="1"/>
  <c r="H58" i="6" s="1"/>
  <c r="F17" i="3"/>
  <c r="F16" i="4" s="1"/>
  <c r="L58" i="6" s="1"/>
  <c r="G17" i="3"/>
  <c r="G16" i="4" s="1"/>
  <c r="O58" i="6" s="1"/>
  <c r="J17" i="3"/>
  <c r="K17" i="3"/>
  <c r="L17" i="3"/>
  <c r="M17" i="3"/>
  <c r="N17" i="3"/>
  <c r="O17" i="3"/>
  <c r="P17" i="3"/>
  <c r="Q17" i="3"/>
  <c r="R17" i="3"/>
  <c r="T17" i="3"/>
  <c r="U17" i="3"/>
  <c r="C18" i="3"/>
  <c r="C17" i="4" s="1"/>
  <c r="B59" i="6" s="1"/>
  <c r="E18" i="3"/>
  <c r="E17" i="4" s="1"/>
  <c r="H59" i="6" s="1"/>
  <c r="F18" i="3"/>
  <c r="F17" i="4" s="1"/>
  <c r="L59" i="6" s="1"/>
  <c r="G18" i="3"/>
  <c r="J18" i="3"/>
  <c r="K18" i="3"/>
  <c r="L18" i="3"/>
  <c r="M18" i="3"/>
  <c r="N18" i="3"/>
  <c r="O18" i="3"/>
  <c r="P18" i="3"/>
  <c r="Q18" i="3"/>
  <c r="R18" i="3"/>
  <c r="T18" i="3"/>
  <c r="U18" i="3"/>
  <c r="J19" i="3"/>
  <c r="K19" i="3"/>
  <c r="L19" i="3"/>
  <c r="M19" i="3"/>
  <c r="N19" i="3"/>
  <c r="O19" i="3"/>
  <c r="P19" i="3"/>
  <c r="Q19" i="3"/>
  <c r="R19" i="3"/>
  <c r="T19" i="3"/>
  <c r="U19" i="3"/>
  <c r="J20" i="3"/>
  <c r="K20" i="3"/>
  <c r="L20" i="3"/>
  <c r="M20" i="3"/>
  <c r="N20" i="3"/>
  <c r="O20" i="3"/>
  <c r="P20" i="3"/>
  <c r="Q20" i="3"/>
  <c r="R20" i="3"/>
  <c r="T20" i="3"/>
  <c r="U20" i="3"/>
  <c r="C23" i="3"/>
  <c r="D23" i="3"/>
  <c r="C24" i="3"/>
  <c r="D24" i="3"/>
  <c r="B28" i="3"/>
  <c r="B26" i="4" s="1"/>
  <c r="C28" i="3"/>
  <c r="C26" i="4" s="1"/>
  <c r="F28" i="3"/>
  <c r="H28" i="3" s="1"/>
  <c r="B32" i="3"/>
  <c r="B28" i="4" s="1"/>
  <c r="C32" i="3"/>
  <c r="C28" i="4" s="1"/>
  <c r="F32" i="3"/>
  <c r="H32" i="3" s="1"/>
  <c r="B36" i="3"/>
  <c r="B30" i="4" s="1"/>
  <c r="C36" i="3"/>
  <c r="C30" i="4" s="1"/>
  <c r="F36" i="3"/>
  <c r="H36" i="3" s="1"/>
  <c r="A14" i="6" l="1"/>
  <c r="G15" i="5"/>
  <c r="G17" i="4"/>
  <c r="O59" i="6" s="1"/>
  <c r="I24" i="3"/>
  <c r="D22" i="4" s="1"/>
  <c r="M39" i="6" s="1"/>
  <c r="G23" i="3"/>
  <c r="C21" i="4" s="1"/>
  <c r="K37" i="6" s="1"/>
  <c r="J20" i="6"/>
  <c r="G19" i="5"/>
  <c r="F5" i="4"/>
  <c r="E10" i="1"/>
  <c r="H10" i="1" s="1"/>
  <c r="J10" i="1" s="1"/>
  <c r="E38" i="1"/>
  <c r="H38" i="1" s="1"/>
  <c r="J38" i="1" s="1"/>
  <c r="E24" i="1"/>
  <c r="H24" i="1" s="1"/>
  <c r="J24" i="1" s="1"/>
  <c r="J22" i="6"/>
  <c r="G21" i="5"/>
  <c r="J18" i="6"/>
  <c r="G17" i="5"/>
  <c r="I28" i="3"/>
  <c r="F43" i="4" s="1"/>
  <c r="J48" i="6" s="1"/>
  <c r="J50" i="6" s="1"/>
  <c r="F24" i="3"/>
  <c r="W18" i="3" s="1"/>
  <c r="I23" i="3"/>
  <c r="D21" i="4" s="1"/>
  <c r="M37" i="6" s="1"/>
  <c r="F23" i="3"/>
  <c r="V17" i="3" s="1"/>
  <c r="K24" i="1" l="1"/>
  <c r="K25" i="1" s="1"/>
  <c r="K26" i="1" s="1"/>
  <c r="L24" i="1"/>
  <c r="L25" i="1" s="1"/>
  <c r="L38" i="1"/>
  <c r="L39" i="1" s="1"/>
  <c r="K38" i="1"/>
  <c r="K39" i="1" s="1"/>
  <c r="K40" i="1" s="1"/>
  <c r="K41" i="1" s="1"/>
  <c r="K42" i="1" s="1"/>
  <c r="K43" i="1" s="1"/>
  <c r="R52" i="3" s="1"/>
  <c r="K10" i="1"/>
  <c r="K11" i="1" s="1"/>
  <c r="K12" i="1" s="1"/>
  <c r="L10" i="1"/>
  <c r="L11" i="1" s="1"/>
  <c r="G23" i="5"/>
  <c r="J24" i="6"/>
  <c r="V20" i="3"/>
  <c r="V19" i="3"/>
  <c r="V18" i="3"/>
  <c r="W17" i="3"/>
  <c r="G24" i="3" s="1"/>
  <c r="C22" i="4" s="1"/>
  <c r="K39" i="6" s="1"/>
  <c r="W19" i="3"/>
  <c r="W20" i="3"/>
  <c r="F39" i="4" l="1"/>
  <c r="M69" i="6" s="1"/>
  <c r="T52" i="3"/>
  <c r="K13" i="1"/>
  <c r="K14" i="1" s="1"/>
  <c r="K15" i="1" s="1"/>
  <c r="R50" i="3" s="1"/>
  <c r="T50" i="3" s="1"/>
  <c r="K27" i="1"/>
  <c r="K28" i="1" s="1"/>
  <c r="K29" i="1" s="1"/>
  <c r="R51" i="3" s="1"/>
  <c r="F37" i="4" l="1"/>
  <c r="M67" i="6" s="1"/>
  <c r="U50" i="3"/>
  <c r="C54" i="3" s="1"/>
  <c r="F38" i="4"/>
  <c r="M68" i="6" s="1"/>
  <c r="T51" i="3"/>
  <c r="D44" i="4" l="1"/>
  <c r="I7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Qurina</author>
  </authors>
  <commentList>
    <comment ref="G5" authorId="0" shapeId="0" xr:uid="{1D5CC6FF-C5CA-47AC-A589-E7930C8B3A58}">
      <text>
        <r>
          <rPr>
            <b/>
            <sz val="9"/>
            <color indexed="81"/>
            <rFont val="Tahoma"/>
            <family val="2"/>
          </rPr>
          <t>Qurina:</t>
        </r>
        <r>
          <rPr>
            <sz val="9"/>
            <color indexed="81"/>
            <rFont val="Tahoma"/>
            <family val="2"/>
          </rPr>
          <t xml:space="preserve">
banyaknya pengukuran - 1
</t>
        </r>
      </text>
    </comment>
    <comment ref="E6" authorId="0" shapeId="0" xr:uid="{1715FE56-FF24-4EF7-9EE0-ACD4EDDE408F}">
      <text>
        <r>
          <rPr>
            <b/>
            <sz val="9"/>
            <color indexed="81"/>
            <rFont val="Tahoma"/>
            <family val="2"/>
          </rPr>
          <t>Qurina:</t>
        </r>
        <r>
          <rPr>
            <sz val="9"/>
            <color indexed="81"/>
            <rFont val="Tahoma"/>
            <family val="2"/>
          </rPr>
          <t xml:space="preserve">
dari sertif standar</t>
        </r>
      </text>
    </comment>
    <comment ref="G19" authorId="0" shapeId="0" xr:uid="{E13CDC5A-5E88-4296-BEB2-37AF5DCF588B}">
      <text>
        <r>
          <rPr>
            <b/>
            <sz val="9"/>
            <color indexed="81"/>
            <rFont val="Tahoma"/>
            <family val="2"/>
          </rPr>
          <t>Qurina:</t>
        </r>
        <r>
          <rPr>
            <sz val="9"/>
            <color indexed="81"/>
            <rFont val="Tahoma"/>
            <family val="2"/>
          </rPr>
          <t xml:space="preserve">
banyaknya pengukuran - 1
</t>
        </r>
      </text>
    </comment>
    <comment ref="E20" authorId="0" shapeId="0" xr:uid="{63CBE507-F08F-4F9C-B128-22A21283950F}">
      <text>
        <r>
          <rPr>
            <b/>
            <sz val="9"/>
            <color indexed="81"/>
            <rFont val="Tahoma"/>
            <family val="2"/>
          </rPr>
          <t>Qurina:</t>
        </r>
        <r>
          <rPr>
            <sz val="9"/>
            <color indexed="81"/>
            <rFont val="Tahoma"/>
            <family val="2"/>
          </rPr>
          <t xml:space="preserve">
dari sertif standar</t>
        </r>
      </text>
    </comment>
    <comment ref="G33" authorId="0" shapeId="0" xr:uid="{2ABE01A1-580F-4643-8827-A836D0774E7F}">
      <text>
        <r>
          <rPr>
            <b/>
            <sz val="9"/>
            <color indexed="81"/>
            <rFont val="Tahoma"/>
            <family val="2"/>
          </rPr>
          <t>Qurina:</t>
        </r>
        <r>
          <rPr>
            <sz val="9"/>
            <color indexed="81"/>
            <rFont val="Tahoma"/>
            <family val="2"/>
          </rPr>
          <t xml:space="preserve">
banyaknya pengukuran - 1
</t>
        </r>
      </text>
    </comment>
    <comment ref="E34" authorId="0" shapeId="0" xr:uid="{FC5EC71A-5402-4F06-9E47-C059B48F617C}">
      <text>
        <r>
          <rPr>
            <b/>
            <sz val="9"/>
            <color indexed="81"/>
            <rFont val="Tahoma"/>
            <family val="2"/>
          </rPr>
          <t>Qurina:</t>
        </r>
        <r>
          <rPr>
            <sz val="9"/>
            <color indexed="81"/>
            <rFont val="Tahoma"/>
            <family val="2"/>
          </rPr>
          <t xml:space="preserve">
dari sertif standar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3" authorId="0" shapeId="0" xr:uid="{8B21F207-9C1E-4F7B-ADEF-4441F67F22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input baik / tidak baik
</t>
        </r>
      </text>
    </comment>
  </commentList>
</comments>
</file>

<file path=xl/sharedStrings.xml><?xml version="1.0" encoding="utf-8"?>
<sst xmlns="http://schemas.openxmlformats.org/spreadsheetml/2006/main" count="504" uniqueCount="261">
  <si>
    <t>wajib diisi</t>
  </si>
  <si>
    <t>CATATAN:</t>
  </si>
  <si>
    <t>III</t>
  </si>
  <si>
    <t>II</t>
  </si>
  <si>
    <t>I</t>
  </si>
  <si>
    <t>Toleransi</t>
  </si>
  <si>
    <t>V</t>
  </si>
  <si>
    <t>IV</t>
  </si>
  <si>
    <t>No</t>
  </si>
  <si>
    <t>Tidak baik</t>
  </si>
  <si>
    <t>Baik</t>
  </si>
  <si>
    <t>selama pengecekan fungsi, pastikan tampilan indicator dan tampilan berfungsi seluruhnya, yakinkan bahwa tampilan digital berfungsi</t>
  </si>
  <si>
    <t>periksa bagian luar unit, pastikan bersih, terpasang ketat satu dan lainnya dan tidak ada bekas tertimpa cairan ataupun gangguan lainnya.</t>
  </si>
  <si>
    <t>Badan Permukaan</t>
  </si>
  <si>
    <t>Hasil Pengamatan</t>
  </si>
  <si>
    <t>Keterangan</t>
  </si>
  <si>
    <t>Bagian Alat</t>
  </si>
  <si>
    <t>D. PEMERIKSAAN FISIK DAN FUNGSI ALAT</t>
  </si>
  <si>
    <t>RH (%)</t>
  </si>
  <si>
    <t>Suhu (°C)</t>
  </si>
  <si>
    <t>Akhir</t>
  </si>
  <si>
    <t xml:space="preserve">Awal </t>
  </si>
  <si>
    <t>Kondisi Ruang</t>
  </si>
  <si>
    <t>C. PENGUKURAN KONDISI LINGKUNGAN</t>
  </si>
  <si>
    <t>TH-01</t>
  </si>
  <si>
    <t>No. Seri</t>
  </si>
  <si>
    <t>Type / Model</t>
  </si>
  <si>
    <t>Merk</t>
  </si>
  <si>
    <t>Nama Alat</t>
  </si>
  <si>
    <t>B. DAFTAR ALAT YANG DIGUNAKAN</t>
  </si>
  <si>
    <t>Resolusi :</t>
  </si>
  <si>
    <t>Petugas Kalibrasi :</t>
  </si>
  <si>
    <t>Kapasitas :</t>
  </si>
  <si>
    <t>Tgl. Kalibrasi :</t>
  </si>
  <si>
    <t xml:space="preserve">No. Seri :     </t>
  </si>
  <si>
    <t>Tgl. Terima :</t>
  </si>
  <si>
    <t>Model/Tipe :</t>
  </si>
  <si>
    <t>Ruangan :</t>
  </si>
  <si>
    <t xml:space="preserve">Merek :               </t>
  </si>
  <si>
    <t>Pemilik :</t>
  </si>
  <si>
    <t>Nama Alat :</t>
  </si>
  <si>
    <t>No. Alat :</t>
  </si>
  <si>
    <t>No. Sertifikat :</t>
  </si>
  <si>
    <t>A. PENDATAAN ADMINISTRASI</t>
  </si>
  <si>
    <t>LEMBAR KERJA KALIBRASI THERMOMETER EAR/THERMOMETER INFRA RED</t>
  </si>
  <si>
    <t>℃</t>
  </si>
  <si>
    <t>Black Body Liquid Calibration Source</t>
  </si>
  <si>
    <t>Thermometer Refrence</t>
  </si>
  <si>
    <t>Digital thermohygrometer</t>
  </si>
  <si>
    <r>
      <t xml:space="preserve">25 </t>
    </r>
    <r>
      <rPr>
        <sz val="11"/>
        <rFont val="Calibri"/>
        <family val="2"/>
      </rPr>
      <t>±</t>
    </r>
    <r>
      <rPr>
        <sz val="9.8000000000000007"/>
        <rFont val="Times New Roman"/>
        <family val="1"/>
      </rPr>
      <t xml:space="preserve"> 1 </t>
    </r>
    <r>
      <rPr>
        <sz val="9.8000000000000007"/>
        <rFont val="Calibri"/>
        <family val="2"/>
      </rPr>
      <t>°</t>
    </r>
    <r>
      <rPr>
        <sz val="8.6999999999999993"/>
        <rFont val="Times New Roman"/>
        <family val="1"/>
      </rPr>
      <t>C</t>
    </r>
  </si>
  <si>
    <r>
      <t xml:space="preserve">50 % </t>
    </r>
    <r>
      <rPr>
        <sz val="11"/>
        <rFont val="Calibri"/>
        <family val="2"/>
      </rPr>
      <t>±</t>
    </r>
    <r>
      <rPr>
        <sz val="9.8000000000000007"/>
        <rFont val="Times New Roman"/>
        <family val="1"/>
      </rPr>
      <t xml:space="preserve"> 10 %</t>
    </r>
  </si>
  <si>
    <t>Pastikan baterai berfungsi dengan baik</t>
  </si>
  <si>
    <t>baterai</t>
  </si>
  <si>
    <t>tampilan dan indikator</t>
  </si>
  <si>
    <t>Setting Standar</t>
  </si>
  <si>
    <r>
      <t xml:space="preserve">Pembacaan </t>
    </r>
    <r>
      <rPr>
        <sz val="12"/>
        <color theme="1"/>
        <rFont val="Times New Roman"/>
        <family val="1"/>
      </rPr>
      <t>refrence thermometer</t>
    </r>
  </si>
  <si>
    <r>
      <t xml:space="preserve">± 0,3 </t>
    </r>
    <r>
      <rPr>
        <sz val="11"/>
        <color theme="1"/>
        <rFont val="Times New Roman"/>
        <family val="1"/>
      </rPr>
      <t>℃</t>
    </r>
  </si>
  <si>
    <r>
      <t xml:space="preserve">±  0,2 </t>
    </r>
    <r>
      <rPr>
        <sz val="11"/>
        <color theme="1"/>
        <rFont val="Times New Roman"/>
        <family val="1"/>
      </rPr>
      <t>℃</t>
    </r>
  </si>
  <si>
    <r>
      <t xml:space="preserve">±  0,3 </t>
    </r>
    <r>
      <rPr>
        <sz val="11"/>
        <color theme="1"/>
        <rFont val="Times New Roman"/>
        <family val="1"/>
      </rPr>
      <t>℃</t>
    </r>
  </si>
  <si>
    <r>
      <t xml:space="preserve">Pembacaan </t>
    </r>
    <r>
      <rPr>
        <sz val="12"/>
        <color theme="1"/>
        <rFont val="Times New Roman"/>
        <family val="1"/>
      </rPr>
      <t>UUT</t>
    </r>
  </si>
  <si>
    <t>Pembacaan UUT</t>
  </si>
  <si>
    <t xml:space="preserve">TOTAL KINERJA </t>
  </si>
  <si>
    <t>score</t>
  </si>
  <si>
    <t>hasil</t>
  </si>
  <si>
    <t>toleransi</t>
  </si>
  <si>
    <t>KTPS</t>
  </si>
  <si>
    <t>ESDM</t>
  </si>
  <si>
    <t>STDV</t>
  </si>
  <si>
    <t>mean terkoreksi</t>
  </si>
  <si>
    <t>terkoreksi</t>
  </si>
  <si>
    <t>koreksi</t>
  </si>
  <si>
    <t xml:space="preserve">E. PENGUKURAN KINERJA ALAT </t>
  </si>
  <si>
    <t>Intercept</t>
  </si>
  <si>
    <t>Tanggal Kalibrasi</t>
  </si>
  <si>
    <t>Type</t>
  </si>
  <si>
    <t xml:space="preserve">Bobot </t>
  </si>
  <si>
    <t>Hasil</t>
  </si>
  <si>
    <r>
      <t xml:space="preserve">55 % </t>
    </r>
    <r>
      <rPr>
        <sz val="11"/>
        <rFont val="Calibri"/>
        <family val="2"/>
      </rPr>
      <t>±</t>
    </r>
    <r>
      <rPr>
        <sz val="9.8000000000000007"/>
        <rFont val="Times New Roman"/>
        <family val="1"/>
      </rPr>
      <t xml:space="preserve"> 20 %</t>
    </r>
  </si>
  <si>
    <r>
      <t xml:space="preserve">25 </t>
    </r>
    <r>
      <rPr>
        <sz val="11"/>
        <rFont val="Calibri"/>
        <family val="2"/>
      </rPr>
      <t>±</t>
    </r>
    <r>
      <rPr>
        <sz val="9.8000000000000007"/>
        <rFont val="Times New Roman"/>
        <family val="1"/>
      </rPr>
      <t xml:space="preserve"> 6 </t>
    </r>
    <r>
      <rPr>
        <sz val="9.8000000000000007"/>
        <rFont val="Calibri"/>
        <family val="2"/>
      </rPr>
      <t>°</t>
    </r>
    <r>
      <rPr>
        <sz val="8.6999999999999993"/>
        <rFont val="Times New Roman"/>
        <family val="1"/>
      </rPr>
      <t>C</t>
    </r>
  </si>
  <si>
    <t>ktps</t>
  </si>
  <si>
    <t>mean</t>
  </si>
  <si>
    <t>kelembaban</t>
  </si>
  <si>
    <t>suhu</t>
  </si>
  <si>
    <t>Kelembaban</t>
  </si>
  <si>
    <t>X variabel</t>
  </si>
  <si>
    <t>Tgl. Kalibrasi</t>
  </si>
  <si>
    <t>Regresi Kelembaban</t>
  </si>
  <si>
    <t>Regresi Suhu</t>
  </si>
  <si>
    <t>Nama</t>
  </si>
  <si>
    <t>Setting Standar ℃</t>
  </si>
  <si>
    <t>Pembacaan Thermometer Refrence</t>
  </si>
  <si>
    <t>thermometer UUT</t>
  </si>
  <si>
    <t>Setting simulator</t>
  </si>
  <si>
    <t>mean terkoreksi UUT</t>
  </si>
  <si>
    <t>mean pemb refrence</t>
  </si>
  <si>
    <t>Setting : 35°C</t>
  </si>
  <si>
    <t>Komponen</t>
  </si>
  <si>
    <t xml:space="preserve">Satuan </t>
  </si>
  <si>
    <t xml:space="preserve">Distribusi </t>
  </si>
  <si>
    <t>Stdev (U)</t>
  </si>
  <si>
    <t>Pembagi</t>
  </si>
  <si>
    <t>v</t>
  </si>
  <si>
    <t>u</t>
  </si>
  <si>
    <t>c</t>
  </si>
  <si>
    <t>(u.c)</t>
  </si>
  <si>
    <t>(u.c)²</t>
  </si>
  <si>
    <t>(u.c)⁴/v</t>
  </si>
  <si>
    <t>Repeatability</t>
  </si>
  <si>
    <t>°C</t>
  </si>
  <si>
    <t>Normal</t>
  </si>
  <si>
    <t>Sertif Standard</t>
  </si>
  <si>
    <t>Homogenitas Blackbody</t>
  </si>
  <si>
    <t>Rectangular</t>
  </si>
  <si>
    <t>Stabilitas Blackbody</t>
  </si>
  <si>
    <t>Drift</t>
  </si>
  <si>
    <t xml:space="preserve">Resolusi </t>
  </si>
  <si>
    <t>Jumlah</t>
  </si>
  <si>
    <t>Ketidakpastian Baku Gabungan uc</t>
  </si>
  <si>
    <t>Derajat Kebebasan efektif veff</t>
  </si>
  <si>
    <t>Faktor cakupan, k-student untuk Veff dan CL 95%</t>
  </si>
  <si>
    <t>Ketidakpastian bentangan, U=k.Uc</t>
  </si>
  <si>
    <t xml:space="preserve">PERHITUNGAN KETIDAKPASTIAN </t>
  </si>
  <si>
    <t>Setting : 37°C</t>
  </si>
  <si>
    <t>Setting : 41°C</t>
  </si>
  <si>
    <t>Disarankan agar dilakukan kalibrasi ulang sesuai jadwal secara berkala</t>
  </si>
  <si>
    <r>
      <t>Alat dinyatakan</t>
    </r>
    <r>
      <rPr>
        <b/>
        <sz val="11"/>
        <rFont val="Times New Roman"/>
        <family val="1"/>
      </rPr>
      <t xml:space="preserve"> </t>
    </r>
  </si>
  <si>
    <t>Pengujian fisik dan fungsi  dinyatakan :</t>
  </si>
  <si>
    <t>VI.  Kesimpulan</t>
  </si>
  <si>
    <t>ketidakpastian</t>
  </si>
  <si>
    <t>Tipe / Model</t>
  </si>
  <si>
    <t>Nama Petugas Kalibrasi :</t>
  </si>
  <si>
    <t>Tgl. Terima</t>
  </si>
  <si>
    <t>Ruangan Tempat Alat :</t>
  </si>
  <si>
    <t>Rentang Ukur :</t>
  </si>
  <si>
    <t>Nama Pelanggan :</t>
  </si>
  <si>
    <t>LEMBAR KERJA KALIBRASI THERMOMETER EAR / THERMOMETER INFRARED</t>
  </si>
  <si>
    <t>E. PENGUKURAN KINERJA ALAT</t>
  </si>
  <si>
    <r>
      <t>Setting Simulator (</t>
    </r>
    <r>
      <rPr>
        <sz val="11"/>
        <color theme="1"/>
        <rFont val="Times New Roman"/>
        <family val="1"/>
      </rPr>
      <t>℃</t>
    </r>
    <r>
      <rPr>
        <sz val="12.65"/>
        <color theme="1"/>
        <rFont val="Calibri"/>
        <family val="2"/>
      </rPr>
      <t>)</t>
    </r>
  </si>
  <si>
    <t>penunjukan Refrence</t>
  </si>
  <si>
    <t>a</t>
  </si>
  <si>
    <t>b</t>
  </si>
  <si>
    <t>n</t>
  </si>
  <si>
    <t>Director</t>
  </si>
  <si>
    <t>Direktur</t>
  </si>
  <si>
    <t>Samsurizal</t>
  </si>
  <si>
    <t>PT. Presisi Kalibrasi Medika</t>
  </si>
  <si>
    <t>Published date</t>
  </si>
  <si>
    <t>:</t>
  </si>
  <si>
    <t>Diterbitkan tanggal</t>
  </si>
  <si>
    <t>This certificate consist of</t>
  </si>
  <si>
    <t>Sertifikat ini terdiri dari</t>
  </si>
  <si>
    <t>Address</t>
  </si>
  <si>
    <t>Alamat</t>
  </si>
  <si>
    <t>Customer</t>
  </si>
  <si>
    <t>Pelanggan</t>
  </si>
  <si>
    <t>Customer ID</t>
  </si>
  <si>
    <t>IDENTITAS PELANGGAN</t>
  </si>
  <si>
    <t>Resolution</t>
  </si>
  <si>
    <t>Resolusi</t>
  </si>
  <si>
    <t>Serial Number</t>
  </si>
  <si>
    <t>Nomor Seri</t>
  </si>
  <si>
    <t>Type/Model</t>
  </si>
  <si>
    <t>Brand</t>
  </si>
  <si>
    <t>Device Name</t>
  </si>
  <si>
    <t>Instrument ID</t>
  </si>
  <si>
    <t>DATA ALAT</t>
  </si>
  <si>
    <t>Calibration Certificate</t>
  </si>
  <si>
    <t>SERTIFIKAT KALIBRASI</t>
  </si>
  <si>
    <t xml:space="preserve">Certificate Number </t>
  </si>
  <si>
    <t>Nomor Sertifikat</t>
  </si>
  <si>
    <t>~End of Certificate~</t>
  </si>
  <si>
    <t>~Akhir dari Sertifikat~</t>
  </si>
  <si>
    <t>Technical Manager</t>
  </si>
  <si>
    <t>Manajer Teknis</t>
  </si>
  <si>
    <t>Responsible Person</t>
  </si>
  <si>
    <t>Penanggung Jawab</t>
  </si>
  <si>
    <t>Testing and calibration results are only related to the condition and unit of
the instrument being report.</t>
  </si>
  <si>
    <t>Hasil pengujian dan kalibrasi hanya terkait dengan kondisi yang dilaporkan.</t>
  </si>
  <si>
    <t>The true value is determined from the instrument reading added by it's correction.</t>
  </si>
  <si>
    <t>Nilai sebenarnya adalah penunjukan alat ditambah koreksi.</t>
  </si>
  <si>
    <t>Uncertainty of measurement is exoressed at confidence level of 95 % 
with a converage factor k = 2.</t>
  </si>
  <si>
    <t>Nilai ketidakpastian pengukuran dinyatakan pada tingkat kepercayaan 95%, 
dengan faktor cakupan k = 2.</t>
  </si>
  <si>
    <t>Note</t>
  </si>
  <si>
    <t>Catatan :</t>
  </si>
  <si>
    <t>Do testing and calibration on repeat</t>
  </si>
  <si>
    <t>Recommendation</t>
  </si>
  <si>
    <t>Lakukan pengujian dan kalibrasi ulang secara berkala</t>
  </si>
  <si>
    <t>Saran</t>
  </si>
  <si>
    <t>Feasible to use</t>
  </si>
  <si>
    <t>Conclusion</t>
  </si>
  <si>
    <t>Kesimpulan</t>
  </si>
  <si>
    <t>Conclusion And Recommendation</t>
  </si>
  <si>
    <t>KESIMPULAN DAN SARAN</t>
  </si>
  <si>
    <t>Uncertainty (±)</t>
  </si>
  <si>
    <t>Correction</t>
  </si>
  <si>
    <t>Ketidakpastian Pengukuran (±)</t>
  </si>
  <si>
    <t>Koreksi</t>
  </si>
  <si>
    <t xml:space="preserve">nominal mean terkoreksi mengikuti pembacaan hasil </t>
  </si>
  <si>
    <t>Performance Measurement</t>
  </si>
  <si>
    <t>PENGUKURAN KINERJA</t>
  </si>
  <si>
    <t>F.</t>
  </si>
  <si>
    <t>E.</t>
  </si>
  <si>
    <t>Model/Type</t>
  </si>
  <si>
    <t>Instrument standard</t>
  </si>
  <si>
    <t>List Of Instrument Standard</t>
  </si>
  <si>
    <t>DAFTAR ALAT YANG DIGUNAKAN</t>
  </si>
  <si>
    <t>D.</t>
  </si>
  <si>
    <t xml:space="preserve"> Instrument Function</t>
  </si>
  <si>
    <t>Good</t>
  </si>
  <si>
    <t>/</t>
  </si>
  <si>
    <t>Fungsi Alat</t>
  </si>
  <si>
    <t xml:space="preserve"> Instrument Physical</t>
  </si>
  <si>
    <t>Fisik Alat</t>
  </si>
  <si>
    <t>Physcal And Function Inspection Result</t>
  </si>
  <si>
    <t>PENGAMATAN KONDISI FISIK DAN FUNGSI</t>
  </si>
  <si>
    <t>C.</t>
  </si>
  <si>
    <t>Humidity</t>
  </si>
  <si>
    <t>)%RH</t>
  </si>
  <si>
    <t>±</t>
  </si>
  <si>
    <t>(</t>
  </si>
  <si>
    <t xml:space="preserve">Kelembaban </t>
  </si>
  <si>
    <t>Temperature</t>
  </si>
  <si>
    <t>)°C</t>
  </si>
  <si>
    <t xml:space="preserve">Suhu </t>
  </si>
  <si>
    <t>Environment Condition</t>
  </si>
  <si>
    <t xml:space="preserve">KONDISI RUANGAN </t>
  </si>
  <si>
    <t>B.</t>
  </si>
  <si>
    <t>Valid Until</t>
  </si>
  <si>
    <t>Berlaku Sampai Dengan</t>
  </si>
  <si>
    <t>Calibration Date</t>
  </si>
  <si>
    <t xml:space="preserve">Order Received </t>
  </si>
  <si>
    <t>Tanggal Penerimaan Alat</t>
  </si>
  <si>
    <t>Instrument Location</t>
  </si>
  <si>
    <t>Ruangan Alat</t>
  </si>
  <si>
    <t>Administration</t>
  </si>
  <si>
    <t>PENDATAAN ADMINISTRASI</t>
  </si>
  <si>
    <t>A.</t>
  </si>
  <si>
    <t>Calibration Report</t>
  </si>
  <si>
    <t>LAPORAN KALIBRASI</t>
  </si>
  <si>
    <r>
      <t xml:space="preserve">1. Thermometer Acuan / </t>
    </r>
    <r>
      <rPr>
        <i/>
        <sz val="11"/>
        <color theme="1"/>
        <rFont val="Calibri"/>
        <family val="2"/>
        <scheme val="minor"/>
      </rPr>
      <t>Thermometer Refrence</t>
    </r>
  </si>
  <si>
    <t>Standard Seting</t>
  </si>
  <si>
    <t>Refrence Reading</t>
  </si>
  <si>
    <t>Pembacaan Refrence</t>
  </si>
  <si>
    <t>UUT Reading</t>
  </si>
  <si>
    <t>Metode Kerja pengujian Thermometer Infra Red No. MK 137-19 Keputusan Direktur Jenderal Pelayanan Kesehatan Nomor : HK.02.02/V/0412/2020</t>
  </si>
  <si>
    <t>Reference metode by Thermometer Infra Red No. MK 137-19 Keputusan Direktur Jenderal Pelayanan Kesehatan Nomor : HK.02.02/V/0412/2020</t>
  </si>
  <si>
    <t xml:space="preserve"> </t>
  </si>
  <si>
    <t>Themometer Infrared</t>
  </si>
  <si>
    <t>KARKNEE</t>
  </si>
  <si>
    <t>DT-8806C</t>
  </si>
  <si>
    <t>0595-5000</t>
  </si>
  <si>
    <t>Klinik Asta Nugraha</t>
  </si>
  <si>
    <t>Lab Presisi</t>
  </si>
  <si>
    <t>Eliza Novianti</t>
  </si>
  <si>
    <t>-</t>
  </si>
  <si>
    <t>Taffware</t>
  </si>
  <si>
    <t>HTC-1</t>
  </si>
  <si>
    <t>S.248</t>
  </si>
  <si>
    <t>Jl. Duren Sawit Raya (dermaga) No.19 Blok K1, RT.9/RW.11, Klender, Durensawit, East Jakarta City, Jakarta 13470</t>
  </si>
  <si>
    <t>4 halaman</t>
  </si>
  <si>
    <t>Eliza Novianti, A.Md.T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</si>
</sst>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0"/>
    <numFmt numFmtId="165" formatCode="0.0"/>
    <numFmt numFmtId="166" formatCode="dd/mm/yyyy;@"/>
    <numFmt numFmtId="167" formatCode="[$-13809]dd\ mmmm\ yyyy;@"/>
    <numFmt numFmtId="168" formatCode="[$-421]dd\ mmmm\ yyyy;@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</font>
    <font>
      <sz val="10"/>
      <name val="Arial"/>
      <family val="2"/>
      <charset val="1"/>
    </font>
    <font>
      <sz val="11"/>
      <name val="Times New Roman"/>
      <family val="1"/>
      <charset val="1"/>
    </font>
    <font>
      <sz val="11"/>
      <color theme="1"/>
      <name val="Calibri"/>
      <family val="2"/>
      <charset val="1"/>
      <scheme val="minor"/>
    </font>
    <font>
      <sz val="10"/>
      <name val="Calibri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name val="Calibri"/>
      <family val="2"/>
    </font>
    <font>
      <sz val="9.8000000000000007"/>
      <name val="Times New Roman"/>
      <family val="1"/>
    </font>
    <font>
      <sz val="9.8000000000000007"/>
      <name val="Calibri"/>
      <family val="2"/>
    </font>
    <font>
      <sz val="8.6999999999999993"/>
      <name val="Times New Roman"/>
      <family val="1"/>
    </font>
    <font>
      <sz val="11"/>
      <color theme="1" tint="4.9989318521683403E-2"/>
      <name val="Times New Roman"/>
      <family val="1"/>
    </font>
    <font>
      <b/>
      <sz val="12"/>
      <color theme="1"/>
      <name val="Times New Roman"/>
      <family val="1"/>
    </font>
    <font>
      <b/>
      <sz val="12"/>
      <name val="Arial"/>
      <family val="2"/>
    </font>
    <font>
      <b/>
      <i/>
      <sz val="11"/>
      <name val="Times New Roman"/>
      <family val="1"/>
    </font>
    <font>
      <b/>
      <u/>
      <sz val="1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 "/>
    </font>
    <font>
      <b/>
      <sz val="11"/>
      <color theme="1"/>
      <name val="Calibri"/>
      <family val="2"/>
      <charset val="1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"/>
      <family val="2"/>
    </font>
    <font>
      <sz val="12"/>
      <name val="Times New Roman"/>
      <family val="1"/>
    </font>
    <font>
      <u/>
      <sz val="11"/>
      <name val="Times New Roman"/>
      <family val="1"/>
    </font>
    <font>
      <i/>
      <sz val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5"/>
      <name val="Times New Roman"/>
      <family val="1"/>
      <charset val="1"/>
    </font>
    <font>
      <sz val="12"/>
      <name val="Times New Roman"/>
      <family val="1"/>
      <charset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2.65"/>
      <color theme="1"/>
      <name val="Calibri"/>
      <family val="2"/>
    </font>
    <font>
      <i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 "/>
    </font>
    <font>
      <i/>
      <sz val="9"/>
      <name val="Calibri "/>
    </font>
    <font>
      <sz val="12"/>
      <name val="Calibri"/>
      <family val="2"/>
      <scheme val="minor"/>
    </font>
    <font>
      <sz val="10"/>
      <color rgb="FF000000"/>
      <name val="Times New Roman"/>
      <charset val="204"/>
    </font>
    <font>
      <sz val="9"/>
      <color rgb="FF000000"/>
      <name val="Times New Roman"/>
      <family val="2"/>
    </font>
    <font>
      <sz val="10"/>
      <color rgb="FF000000"/>
      <name val="Times New Roman"/>
      <family val="2"/>
    </font>
    <font>
      <sz val="11"/>
      <color rgb="FF1F1F1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" fillId="0" borderId="0"/>
    <xf numFmtId="0" fontId="60" fillId="0" borderId="0"/>
  </cellStyleXfs>
  <cellXfs count="367">
    <xf numFmtId="0" fontId="0" fillId="0" borderId="0" xfId="0"/>
    <xf numFmtId="0" fontId="4" fillId="0" borderId="0" xfId="2" applyFont="1"/>
    <xf numFmtId="164" fontId="4" fillId="0" borderId="0" xfId="2" applyNumberFormat="1" applyFont="1"/>
    <xf numFmtId="0" fontId="5" fillId="0" borderId="0" xfId="2" applyFont="1"/>
    <xf numFmtId="0" fontId="5" fillId="2" borderId="0" xfId="2" applyFont="1" applyFill="1"/>
    <xf numFmtId="2" fontId="4" fillId="0" borderId="0" xfId="2" applyNumberFormat="1" applyFont="1" applyAlignment="1">
      <alignment horizontal="left" vertical="center"/>
    </xf>
    <xf numFmtId="0" fontId="5" fillId="3" borderId="0" xfId="2" applyFont="1" applyFill="1"/>
    <xf numFmtId="0" fontId="6" fillId="0" borderId="0" xfId="2" applyFont="1"/>
    <xf numFmtId="0" fontId="0" fillId="0" borderId="1" xfId="0" applyBorder="1" applyAlignment="1">
      <alignment horizontal="center" vertical="center" wrapText="1"/>
    </xf>
    <xf numFmtId="0" fontId="3" fillId="0" borderId="0" xfId="3"/>
    <xf numFmtId="0" fontId="4" fillId="0" borderId="1" xfId="4" applyFont="1" applyBorder="1" applyAlignment="1">
      <alignment horizontal="center"/>
    </xf>
    <xf numFmtId="0" fontId="4" fillId="0" borderId="1" xfId="4" applyFont="1" applyBorder="1" applyAlignment="1">
      <alignment horizontal="center" vertical="center"/>
    </xf>
    <xf numFmtId="0" fontId="6" fillId="5" borderId="1" xfId="4" applyFont="1" applyFill="1" applyBorder="1" applyAlignment="1">
      <alignment horizontal="center"/>
    </xf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left"/>
    </xf>
    <xf numFmtId="0" fontId="6" fillId="0" borderId="0" xfId="4" applyFont="1" applyAlignment="1">
      <alignment horizontal="left"/>
    </xf>
    <xf numFmtId="0" fontId="4" fillId="0" borderId="0" xfId="2" applyFont="1" applyAlignment="1">
      <alignment horizontal="center"/>
    </xf>
    <xf numFmtId="0" fontId="3" fillId="0" borderId="0" xfId="2"/>
    <xf numFmtId="0" fontId="10" fillId="0" borderId="0" xfId="6"/>
    <xf numFmtId="0" fontId="4" fillId="4" borderId="1" xfId="4" applyFont="1" applyFill="1" applyBorder="1" applyAlignment="1">
      <alignment horizontal="center" vertical="center"/>
    </xf>
    <xf numFmtId="0" fontId="11" fillId="3" borderId="9" xfId="2" applyFont="1" applyFill="1" applyBorder="1" applyAlignment="1">
      <alignment horizontal="center" vertical="center"/>
    </xf>
    <xf numFmtId="0" fontId="11" fillId="3" borderId="11" xfId="2" applyFont="1" applyFill="1" applyBorder="1" applyAlignment="1">
      <alignment horizontal="center" vertical="center"/>
    </xf>
    <xf numFmtId="0" fontId="11" fillId="3" borderId="10" xfId="2" applyFont="1" applyFill="1" applyBorder="1" applyAlignment="1">
      <alignment horizontal="center" vertical="center"/>
    </xf>
    <xf numFmtId="0" fontId="6" fillId="5" borderId="2" xfId="4" applyFont="1" applyFill="1" applyBorder="1" applyAlignment="1">
      <alignment horizontal="center" vertical="center"/>
    </xf>
    <xf numFmtId="0" fontId="6" fillId="5" borderId="3" xfId="4" applyFont="1" applyFill="1" applyBorder="1" applyAlignment="1">
      <alignment horizontal="center" vertical="center"/>
    </xf>
    <xf numFmtId="0" fontId="6" fillId="5" borderId="6" xfId="4" applyFont="1" applyFill="1" applyBorder="1" applyAlignment="1">
      <alignment horizontal="center" vertical="center"/>
    </xf>
    <xf numFmtId="0" fontId="6" fillId="5" borderId="1" xfId="4" applyFont="1" applyFill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3" fillId="0" borderId="0" xfId="7"/>
    <xf numFmtId="1" fontId="4" fillId="0" borderId="1" xfId="4" applyNumberFormat="1" applyFont="1" applyBorder="1" applyAlignment="1">
      <alignment horizontal="center" vertical="center"/>
    </xf>
    <xf numFmtId="0" fontId="4" fillId="0" borderId="3" xfId="4" applyFont="1" applyBorder="1" applyAlignment="1">
      <alignment horizontal="left"/>
    </xf>
    <xf numFmtId="165" fontId="4" fillId="0" borderId="1" xfId="4" applyNumberFormat="1" applyFont="1" applyBorder="1" applyAlignment="1">
      <alignment horizontal="center" vertical="center"/>
    </xf>
    <xf numFmtId="2" fontId="19" fillId="0" borderId="0" xfId="4" applyNumberFormat="1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0" xfId="2" applyAlignment="1">
      <alignment horizontal="center"/>
    </xf>
    <xf numFmtId="0" fontId="6" fillId="0" borderId="0" xfId="4" applyFont="1" applyAlignment="1">
      <alignment horizontal="center"/>
    </xf>
    <xf numFmtId="0" fontId="6" fillId="0" borderId="0" xfId="4" applyFont="1"/>
    <xf numFmtId="15" fontId="4" fillId="0" borderId="1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left" vertical="center"/>
    </xf>
    <xf numFmtId="0" fontId="4" fillId="0" borderId="3" xfId="4" applyFont="1" applyBorder="1" applyAlignment="1">
      <alignment horizontal="left" vertical="center"/>
    </xf>
    <xf numFmtId="0" fontId="3" fillId="0" borderId="1" xfId="2" applyBorder="1" applyAlignment="1">
      <alignment horizontal="center"/>
    </xf>
    <xf numFmtId="0" fontId="4" fillId="0" borderId="11" xfId="4" applyFont="1" applyBorder="1" applyAlignment="1">
      <alignment horizontal="center" vertical="center"/>
    </xf>
    <xf numFmtId="0" fontId="3" fillId="0" borderId="16" xfId="2" applyBorder="1" applyAlignment="1">
      <alignment horizontal="center"/>
    </xf>
    <xf numFmtId="15" fontId="6" fillId="5" borderId="1" xfId="4" applyNumberFormat="1" applyFont="1" applyFill="1" applyBorder="1" applyAlignment="1">
      <alignment horizontal="center" vertical="center"/>
    </xf>
    <xf numFmtId="15" fontId="4" fillId="0" borderId="0" xfId="4" applyNumberFormat="1" applyFont="1" applyAlignment="1">
      <alignment horizontal="center" vertical="center"/>
    </xf>
    <xf numFmtId="49" fontId="4" fillId="0" borderId="0" xfId="4" applyNumberFormat="1" applyFont="1" applyAlignment="1">
      <alignment horizontal="left"/>
    </xf>
    <xf numFmtId="0" fontId="4" fillId="0" borderId="0" xfId="4" quotePrefix="1" applyFont="1" applyAlignment="1">
      <alignment horizontal="left"/>
    </xf>
    <xf numFmtId="0" fontId="4" fillId="0" borderId="1" xfId="4" applyFont="1" applyBorder="1" applyAlignment="1">
      <alignment horizontal="left"/>
    </xf>
    <xf numFmtId="0" fontId="6" fillId="0" borderId="0" xfId="4" applyFont="1" applyAlignment="1">
      <alignment vertical="center"/>
    </xf>
    <xf numFmtId="0" fontId="20" fillId="0" borderId="0" xfId="8" applyFont="1" applyAlignment="1">
      <alignment vertical="center"/>
    </xf>
    <xf numFmtId="0" fontId="3" fillId="0" borderId="0" xfId="2" applyAlignment="1">
      <alignment vertical="center"/>
    </xf>
    <xf numFmtId="0" fontId="21" fillId="0" borderId="0" xfId="2" applyFont="1"/>
    <xf numFmtId="0" fontId="22" fillId="0" borderId="0" xfId="4" applyFont="1" applyAlignment="1">
      <alignment horizontal="left"/>
    </xf>
    <xf numFmtId="0" fontId="23" fillId="0" borderId="0" xfId="4" applyFont="1" applyAlignment="1">
      <alignment horizontal="center"/>
    </xf>
    <xf numFmtId="0" fontId="23" fillId="0" borderId="0" xfId="4" applyFont="1"/>
    <xf numFmtId="0" fontId="12" fillId="0" borderId="0" xfId="4" applyFont="1" applyBorder="1" applyAlignment="1">
      <alignment horizontal="center" vertical="center" wrapText="1"/>
    </xf>
    <xf numFmtId="0" fontId="13" fillId="0" borderId="0" xfId="2" applyFont="1" applyBorder="1" applyAlignment="1">
      <alignment horizontal="left" vertical="center" wrapText="1"/>
    </xf>
    <xf numFmtId="0" fontId="4" fillId="4" borderId="0" xfId="4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8" applyNumberFormat="1" applyFont="1" applyBorder="1" applyAlignment="1">
      <alignment horizontal="center" vertical="center"/>
    </xf>
    <xf numFmtId="0" fontId="2" fillId="0" borderId="0" xfId="0" applyFont="1"/>
    <xf numFmtId="0" fontId="8" fillId="0" borderId="0" xfId="2" applyFont="1" applyAlignment="1">
      <alignment horizont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6" fillId="5" borderId="1" xfId="2" applyFont="1" applyFill="1" applyBorder="1" applyAlignment="1">
      <alignment horizontal="center"/>
    </xf>
    <xf numFmtId="165" fontId="4" fillId="3" borderId="1" xfId="4" applyNumberFormat="1" applyFont="1" applyFill="1" applyBorder="1" applyAlignment="1">
      <alignment horizontal="center" vertical="center"/>
    </xf>
    <xf numFmtId="0" fontId="10" fillId="0" borderId="1" xfId="6" applyBorder="1"/>
    <xf numFmtId="165" fontId="4" fillId="0" borderId="1" xfId="2" applyNumberFormat="1" applyFont="1" applyBorder="1"/>
    <xf numFmtId="0" fontId="27" fillId="5" borderId="1" xfId="6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17" xfId="2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4" fillId="3" borderId="0" xfId="4" applyFont="1" applyFill="1"/>
    <xf numFmtId="0" fontId="4" fillId="3" borderId="3" xfId="4" applyFont="1" applyFill="1" applyBorder="1"/>
    <xf numFmtId="0" fontId="4" fillId="3" borderId="2" xfId="4" applyFont="1" applyFill="1" applyBorder="1"/>
    <xf numFmtId="0" fontId="23" fillId="0" borderId="0" xfId="4" applyFont="1" applyAlignment="1"/>
    <xf numFmtId="165" fontId="4" fillId="0" borderId="1" xfId="4" applyNumberFormat="1" applyFont="1" applyBorder="1" applyAlignment="1">
      <alignment horizontal="center"/>
    </xf>
    <xf numFmtId="0" fontId="4" fillId="0" borderId="0" xfId="4" applyFont="1" applyBorder="1" applyAlignment="1">
      <alignment horizontal="center" vertical="center"/>
    </xf>
    <xf numFmtId="0" fontId="4" fillId="0" borderId="0" xfId="4" applyFont="1" applyBorder="1" applyAlignment="1">
      <alignment horizontal="left" vertical="center"/>
    </xf>
    <xf numFmtId="1" fontId="0" fillId="0" borderId="1" xfId="0" applyNumberFormat="1" applyBorder="1"/>
    <xf numFmtId="1" fontId="10" fillId="0" borderId="1" xfId="6" applyNumberFormat="1" applyBorder="1"/>
    <xf numFmtId="0" fontId="29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165" fontId="0" fillId="0" borderId="1" xfId="0" applyNumberFormat="1" applyFill="1" applyBorder="1"/>
    <xf numFmtId="0" fontId="2" fillId="8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5" fillId="0" borderId="0" xfId="8" applyFont="1"/>
    <xf numFmtId="0" fontId="4" fillId="0" borderId="0" xfId="8" applyFont="1"/>
    <xf numFmtId="0" fontId="32" fillId="0" borderId="0" xfId="2" applyFont="1"/>
    <xf numFmtId="0" fontId="33" fillId="0" borderId="0" xfId="2" applyFont="1" applyAlignment="1">
      <alignment horizontal="left" vertical="top" wrapText="1"/>
    </xf>
    <xf numFmtId="0" fontId="6" fillId="0" borderId="0" xfId="2" applyFont="1" applyAlignment="1">
      <alignment horizontal="left"/>
    </xf>
    <xf numFmtId="0" fontId="34" fillId="0" borderId="0" xfId="8" applyFont="1"/>
    <xf numFmtId="0" fontId="35" fillId="0" borderId="0" xfId="2" applyFont="1"/>
    <xf numFmtId="0" fontId="36" fillId="0" borderId="0" xfId="2" applyFont="1"/>
    <xf numFmtId="0" fontId="37" fillId="0" borderId="0" xfId="2" applyFont="1"/>
    <xf numFmtId="0" fontId="4" fillId="0" borderId="0" xfId="2" applyFont="1" applyAlignment="1">
      <alignment vertical="top"/>
    </xf>
    <xf numFmtId="0" fontId="38" fillId="0" borderId="0" xfId="4" applyFont="1"/>
    <xf numFmtId="0" fontId="39" fillId="0" borderId="0" xfId="4" applyFont="1"/>
    <xf numFmtId="0" fontId="40" fillId="0" borderId="0" xfId="4" applyFont="1"/>
    <xf numFmtId="0" fontId="4" fillId="0" borderId="0" xfId="2" applyFont="1" applyAlignment="1">
      <alignment horizontal="left"/>
    </xf>
    <xf numFmtId="2" fontId="5" fillId="0" borderId="1" xfId="8" applyNumberFormat="1" applyFont="1" applyBorder="1" applyAlignment="1">
      <alignment horizontal="center" vertical="center"/>
    </xf>
    <xf numFmtId="2" fontId="5" fillId="0" borderId="0" xfId="8" applyNumberFormat="1" applyFont="1" applyAlignment="1">
      <alignment horizontal="center"/>
    </xf>
    <xf numFmtId="0" fontId="41" fillId="0" borderId="0" xfId="8" applyFont="1"/>
    <xf numFmtId="0" fontId="5" fillId="0" borderId="1" xfId="8" applyFont="1" applyBorder="1" applyAlignment="1">
      <alignment horizontal="center" vertical="center"/>
    </xf>
    <xf numFmtId="0" fontId="12" fillId="0" borderId="0" xfId="4" applyFont="1" applyAlignment="1">
      <alignment horizontal="center" vertical="center" wrapText="1"/>
    </xf>
    <xf numFmtId="0" fontId="14" fillId="0" borderId="0" xfId="8" applyFont="1" applyAlignment="1">
      <alignment horizontal="left" vertical="center" wrapText="1"/>
    </xf>
    <xf numFmtId="0" fontId="5" fillId="0" borderId="0" xfId="8" applyFont="1" applyAlignment="1">
      <alignment horizontal="center" vertical="center" wrapText="1"/>
    </xf>
    <xf numFmtId="0" fontId="6" fillId="0" borderId="1" xfId="4" applyFont="1" applyBorder="1" applyAlignment="1">
      <alignment horizontal="center"/>
    </xf>
    <xf numFmtId="0" fontId="42" fillId="0" borderId="1" xfId="4" applyFont="1" applyBorder="1" applyAlignment="1">
      <alignment horizontal="center" vertical="center"/>
    </xf>
    <xf numFmtId="0" fontId="4" fillId="0" borderId="3" xfId="4" applyFont="1" applyBorder="1" applyAlignment="1">
      <alignment horizontal="center"/>
    </xf>
    <xf numFmtId="0" fontId="6" fillId="0" borderId="1" xfId="4" applyFont="1" applyBorder="1"/>
    <xf numFmtId="0" fontId="6" fillId="0" borderId="3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15" fontId="6" fillId="0" borderId="1" xfId="4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1" fontId="4" fillId="0" borderId="1" xfId="4" applyNumberFormat="1" applyFont="1" applyBorder="1" applyAlignment="1">
      <alignment horizontal="center"/>
    </xf>
    <xf numFmtId="0" fontId="1" fillId="0" borderId="0" xfId="6" applyFont="1"/>
    <xf numFmtId="0" fontId="44" fillId="0" borderId="0" xfId="6" applyFont="1" applyAlignment="1">
      <alignment vertical="top"/>
    </xf>
    <xf numFmtId="0" fontId="45" fillId="0" borderId="0" xfId="6" applyFont="1"/>
    <xf numFmtId="0" fontId="46" fillId="0" borderId="0" xfId="6" applyFont="1"/>
    <xf numFmtId="0" fontId="48" fillId="0" borderId="0" xfId="6" applyFont="1"/>
    <xf numFmtId="0" fontId="49" fillId="0" borderId="0" xfId="6" applyFont="1"/>
    <xf numFmtId="0" fontId="1" fillId="0" borderId="0" xfId="6" applyFont="1" applyAlignment="1">
      <alignment horizontal="center"/>
    </xf>
    <xf numFmtId="0" fontId="44" fillId="0" borderId="0" xfId="6" applyFont="1"/>
    <xf numFmtId="0" fontId="0" fillId="0" borderId="0" xfId="6" applyFont="1"/>
    <xf numFmtId="1" fontId="1" fillId="0" borderId="0" xfId="6" applyNumberFormat="1" applyFont="1" applyAlignment="1">
      <alignment horizontal="center"/>
    </xf>
    <xf numFmtId="0" fontId="50" fillId="0" borderId="0" xfId="3" applyFont="1"/>
    <xf numFmtId="0" fontId="51" fillId="0" borderId="0" xfId="6" applyFont="1" applyAlignment="1">
      <alignment vertical="top"/>
    </xf>
    <xf numFmtId="0" fontId="45" fillId="0" borderId="0" xfId="6" applyFont="1" applyAlignment="1">
      <alignment vertical="top"/>
    </xf>
    <xf numFmtId="0" fontId="2" fillId="0" borderId="0" xfId="6" applyFont="1"/>
    <xf numFmtId="0" fontId="51" fillId="0" borderId="0" xfId="6" applyFont="1"/>
    <xf numFmtId="0" fontId="54" fillId="0" borderId="0" xfId="6" applyFont="1"/>
    <xf numFmtId="0" fontId="54" fillId="0" borderId="18" xfId="0" applyFont="1" applyBorder="1"/>
    <xf numFmtId="0" fontId="1" fillId="0" borderId="18" xfId="0" applyFont="1" applyBorder="1"/>
    <xf numFmtId="0" fontId="54" fillId="0" borderId="0" xfId="0" applyFont="1"/>
    <xf numFmtId="0" fontId="1" fillId="0" borderId="0" xfId="0" applyFont="1"/>
    <xf numFmtId="0" fontId="55" fillId="0" borderId="0" xfId="6" applyFont="1" applyAlignment="1">
      <alignment vertical="center"/>
    </xf>
    <xf numFmtId="0" fontId="45" fillId="0" borderId="0" xfId="6" applyFont="1" applyAlignment="1">
      <alignment vertical="center"/>
    </xf>
    <xf numFmtId="0" fontId="45" fillId="0" borderId="0" xfId="6" applyFont="1" applyAlignment="1">
      <alignment horizontal="center" vertical="center"/>
    </xf>
    <xf numFmtId="0" fontId="45" fillId="0" borderId="0" xfId="6" applyFont="1" applyAlignment="1">
      <alignment horizontal="center"/>
    </xf>
    <xf numFmtId="0" fontId="0" fillId="0" borderId="0" xfId="6" applyFont="1" applyAlignment="1">
      <alignment vertical="top"/>
    </xf>
    <xf numFmtId="0" fontId="52" fillId="0" borderId="0" xfId="6" applyFont="1"/>
    <xf numFmtId="0" fontId="54" fillId="0" borderId="0" xfId="6" applyFont="1" applyAlignment="1">
      <alignment horizontal="center"/>
    </xf>
    <xf numFmtId="165" fontId="7" fillId="0" borderId="0" xfId="6" applyNumberFormat="1" applyFont="1" applyAlignment="1">
      <alignment horizontal="center"/>
    </xf>
    <xf numFmtId="0" fontId="1" fillId="0" borderId="0" xfId="6" applyFont="1" applyAlignment="1">
      <alignment horizontal="right"/>
    </xf>
    <xf numFmtId="165" fontId="1" fillId="0" borderId="0" xfId="6" applyNumberFormat="1" applyFont="1"/>
    <xf numFmtId="165" fontId="1" fillId="0" borderId="0" xfId="6" applyNumberFormat="1" applyFont="1" applyAlignment="1">
      <alignment horizontal="right"/>
    </xf>
    <xf numFmtId="0" fontId="1" fillId="0" borderId="19" xfId="6" applyFont="1" applyBorder="1"/>
    <xf numFmtId="0" fontId="44" fillId="0" borderId="19" xfId="6" applyFont="1" applyBorder="1" applyAlignment="1">
      <alignment vertical="top"/>
    </xf>
    <xf numFmtId="0" fontId="45" fillId="0" borderId="19" xfId="6" applyFont="1" applyBorder="1"/>
    <xf numFmtId="168" fontId="1" fillId="0" borderId="0" xfId="6" applyNumberFormat="1" applyFont="1"/>
    <xf numFmtId="0" fontId="1" fillId="0" borderId="0" xfId="6" applyFont="1" applyAlignment="1">
      <alignment horizontal="left"/>
    </xf>
    <xf numFmtId="2" fontId="1" fillId="0" borderId="0" xfId="6" applyNumberFormat="1" applyFont="1" applyAlignment="1">
      <alignment horizontal="left"/>
    </xf>
    <xf numFmtId="0" fontId="5" fillId="0" borderId="0" xfId="6" applyFont="1"/>
    <xf numFmtId="0" fontId="45" fillId="0" borderId="8" xfId="6" applyFont="1" applyBorder="1" applyAlignment="1">
      <alignment vertical="center"/>
    </xf>
    <xf numFmtId="0" fontId="45" fillId="0" borderId="13" xfId="6" applyFont="1" applyBorder="1" applyAlignment="1">
      <alignment vertical="center"/>
    </xf>
    <xf numFmtId="0" fontId="45" fillId="0" borderId="7" xfId="6" applyFont="1" applyBorder="1" applyAlignment="1">
      <alignment vertical="center"/>
    </xf>
    <xf numFmtId="165" fontId="61" fillId="0" borderId="17" xfId="9" applyNumberFormat="1" applyFont="1" applyFill="1" applyBorder="1" applyAlignment="1">
      <alignment horizontal="left" vertical="top" shrinkToFit="1"/>
    </xf>
    <xf numFmtId="165" fontId="62" fillId="0" borderId="17" xfId="9" applyNumberFormat="1" applyFont="1" applyFill="1" applyBorder="1" applyAlignment="1">
      <alignment horizontal="left" vertical="top" shrinkToFit="1"/>
    </xf>
    <xf numFmtId="0" fontId="4" fillId="7" borderId="3" xfId="4" applyFont="1" applyFill="1" applyBorder="1" applyAlignment="1">
      <alignment horizontal="left"/>
    </xf>
    <xf numFmtId="165" fontId="61" fillId="0" borderId="17" xfId="9" applyNumberFormat="1" applyFont="1" applyFill="1" applyBorder="1" applyAlignment="1">
      <alignment horizontal="left" vertical="top" shrinkToFit="1"/>
    </xf>
    <xf numFmtId="165" fontId="62" fillId="0" borderId="17" xfId="9" applyNumberFormat="1" applyFont="1" applyFill="1" applyBorder="1" applyAlignment="1">
      <alignment horizontal="left" vertical="top" shrinkToFit="1"/>
    </xf>
    <xf numFmtId="0" fontId="4" fillId="7" borderId="2" xfId="4" applyFont="1" applyFill="1" applyBorder="1" applyAlignment="1">
      <alignment horizontal="left"/>
    </xf>
    <xf numFmtId="0" fontId="4" fillId="7" borderId="1" xfId="4" quotePrefix="1" applyFont="1" applyFill="1" applyBorder="1" applyAlignment="1">
      <alignment horizontal="left"/>
    </xf>
    <xf numFmtId="0" fontId="4" fillId="7" borderId="1" xfId="4" applyFont="1" applyFill="1" applyBorder="1" applyAlignment="1">
      <alignment horizontal="left"/>
    </xf>
    <xf numFmtId="0" fontId="11" fillId="4" borderId="0" xfId="2" applyFont="1" applyFill="1" applyBorder="1" applyAlignment="1">
      <alignment horizontal="center" vertical="center"/>
    </xf>
    <xf numFmtId="14" fontId="4" fillId="7" borderId="3" xfId="4" applyNumberFormat="1" applyFont="1" applyFill="1" applyBorder="1" applyAlignment="1">
      <alignment horizontal="left"/>
    </xf>
    <xf numFmtId="165" fontId="5" fillId="0" borderId="1" xfId="8" applyNumberFormat="1" applyFont="1" applyBorder="1" applyAlignment="1">
      <alignment horizontal="center" vertical="center"/>
    </xf>
    <xf numFmtId="0" fontId="45" fillId="0" borderId="0" xfId="6" applyFont="1"/>
    <xf numFmtId="0" fontId="23" fillId="0" borderId="0" xfId="4" applyFont="1" applyAlignment="1">
      <alignment horizontal="center"/>
    </xf>
    <xf numFmtId="0" fontId="12" fillId="0" borderId="11" xfId="4" applyFont="1" applyBorder="1" applyAlignment="1">
      <alignment horizontal="center" vertical="center" wrapText="1"/>
    </xf>
    <xf numFmtId="0" fontId="12" fillId="0" borderId="10" xfId="4" applyFont="1" applyBorder="1" applyAlignment="1">
      <alignment horizontal="center" vertical="center" wrapText="1"/>
    </xf>
    <xf numFmtId="0" fontId="12" fillId="0" borderId="9" xfId="4" applyFont="1" applyBorder="1" applyAlignment="1">
      <alignment horizontal="center" vertical="center" wrapText="1"/>
    </xf>
    <xf numFmtId="0" fontId="4" fillId="4" borderId="11" xfId="4" applyFont="1" applyFill="1" applyBorder="1" applyAlignment="1">
      <alignment horizontal="center" vertical="center"/>
    </xf>
    <xf numFmtId="0" fontId="4" fillId="4" borderId="9" xfId="4" applyFont="1" applyFill="1" applyBorder="1" applyAlignment="1">
      <alignment horizontal="center" vertical="center"/>
    </xf>
    <xf numFmtId="0" fontId="4" fillId="7" borderId="3" xfId="4" applyFont="1" applyFill="1" applyBorder="1" applyAlignment="1">
      <alignment horizontal="left"/>
    </xf>
    <xf numFmtId="0" fontId="4" fillId="7" borderId="2" xfId="4" applyFont="1" applyFill="1" applyBorder="1" applyAlignment="1">
      <alignment horizontal="left"/>
    </xf>
    <xf numFmtId="0" fontId="14" fillId="0" borderId="8" xfId="2" applyFont="1" applyBorder="1" applyAlignment="1">
      <alignment horizontal="left" vertical="center" wrapText="1"/>
    </xf>
    <xf numFmtId="0" fontId="14" fillId="0" borderId="13" xfId="2" applyFont="1" applyBorder="1" applyAlignment="1">
      <alignment horizontal="left" vertical="center" wrapText="1"/>
    </xf>
    <xf numFmtId="0" fontId="14" fillId="0" borderId="7" xfId="2" applyFont="1" applyBorder="1" applyAlignment="1">
      <alignment horizontal="left" vertical="center" wrapText="1"/>
    </xf>
    <xf numFmtId="0" fontId="14" fillId="0" borderId="15" xfId="2" applyFont="1" applyBorder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0" fontId="14" fillId="0" borderId="14" xfId="2" applyFont="1" applyBorder="1" applyAlignment="1">
      <alignment horizontal="left" vertical="center" wrapText="1"/>
    </xf>
    <xf numFmtId="0" fontId="14" fillId="0" borderId="5" xfId="2" applyFont="1" applyBorder="1" applyAlignment="1">
      <alignment horizontal="left" vertical="center" wrapText="1"/>
    </xf>
    <xf numFmtId="0" fontId="14" fillId="0" borderId="12" xfId="2" applyFont="1" applyBorder="1" applyAlignment="1">
      <alignment horizontal="left" vertical="center" wrapText="1"/>
    </xf>
    <xf numFmtId="0" fontId="14" fillId="0" borderId="4" xfId="2" applyFont="1" applyBorder="1" applyAlignment="1">
      <alignment horizontal="left" vertical="center" wrapText="1"/>
    </xf>
    <xf numFmtId="0" fontId="4" fillId="7" borderId="3" xfId="4" applyFont="1" applyFill="1" applyBorder="1" applyAlignment="1">
      <alignment horizontal="center"/>
    </xf>
    <xf numFmtId="0" fontId="4" fillId="7" borderId="2" xfId="4" applyFont="1" applyFill="1" applyBorder="1" applyAlignment="1">
      <alignment horizontal="center"/>
    </xf>
    <xf numFmtId="0" fontId="13" fillId="0" borderId="8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5" xfId="2" applyFont="1" applyBorder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3" fillId="0" borderId="4" xfId="2" applyFont="1" applyBorder="1" applyAlignment="1">
      <alignment horizontal="left" vertical="center" wrapText="1"/>
    </xf>
    <xf numFmtId="0" fontId="6" fillId="5" borderId="3" xfId="4" applyFont="1" applyFill="1" applyBorder="1" applyAlignment="1">
      <alignment horizontal="center"/>
    </xf>
    <xf numFmtId="0" fontId="6" fillId="5" borderId="2" xfId="4" applyFont="1" applyFill="1" applyBorder="1" applyAlignment="1">
      <alignment horizontal="center"/>
    </xf>
    <xf numFmtId="0" fontId="4" fillId="0" borderId="3" xfId="4" applyFont="1" applyBorder="1" applyAlignment="1">
      <alignment horizontal="left" vertical="center"/>
    </xf>
    <xf numFmtId="0" fontId="4" fillId="0" borderId="2" xfId="4" applyFont="1" applyBorder="1" applyAlignment="1">
      <alignment horizontal="left" vertical="center"/>
    </xf>
    <xf numFmtId="0" fontId="12" fillId="0" borderId="11" xfId="4" applyFont="1" applyBorder="1" applyAlignment="1">
      <alignment horizontal="center" vertical="center"/>
    </xf>
    <xf numFmtId="0" fontId="12" fillId="0" borderId="10" xfId="4" applyFont="1" applyBorder="1" applyAlignment="1">
      <alignment horizontal="center" vertical="center"/>
    </xf>
    <xf numFmtId="0" fontId="12" fillId="0" borderId="9" xfId="4" applyFont="1" applyBorder="1" applyAlignment="1">
      <alignment horizontal="center" vertical="center"/>
    </xf>
    <xf numFmtId="0" fontId="12" fillId="6" borderId="8" xfId="2" applyFont="1" applyFill="1" applyBorder="1" applyAlignment="1">
      <alignment horizontal="left" vertical="center" wrapText="1"/>
    </xf>
    <xf numFmtId="0" fontId="12" fillId="6" borderId="13" xfId="2" applyFont="1" applyFill="1" applyBorder="1" applyAlignment="1">
      <alignment horizontal="left" vertical="center" wrapText="1"/>
    </xf>
    <xf numFmtId="0" fontId="12" fillId="6" borderId="7" xfId="2" applyFont="1" applyFill="1" applyBorder="1" applyAlignment="1">
      <alignment horizontal="left" vertical="center" wrapText="1"/>
    </xf>
    <xf numFmtId="0" fontId="12" fillId="6" borderId="15" xfId="2" applyFont="1" applyFill="1" applyBorder="1" applyAlignment="1">
      <alignment horizontal="left" vertical="center" wrapText="1"/>
    </xf>
    <xf numFmtId="0" fontId="12" fillId="6" borderId="0" xfId="2" applyFont="1" applyFill="1" applyAlignment="1">
      <alignment horizontal="left" vertical="center" wrapText="1"/>
    </xf>
    <xf numFmtId="0" fontId="12" fillId="6" borderId="14" xfId="2" applyFont="1" applyFill="1" applyBorder="1" applyAlignment="1">
      <alignment horizontal="left" vertical="center" wrapText="1"/>
    </xf>
    <xf numFmtId="0" fontId="12" fillId="6" borderId="5" xfId="2" applyFont="1" applyFill="1" applyBorder="1" applyAlignment="1">
      <alignment horizontal="left" vertical="center" wrapText="1"/>
    </xf>
    <xf numFmtId="0" fontId="12" fillId="6" borderId="12" xfId="2" applyFont="1" applyFill="1" applyBorder="1" applyAlignment="1">
      <alignment horizontal="left" vertical="center" wrapText="1"/>
    </xf>
    <xf numFmtId="0" fontId="12" fillId="6" borderId="4" xfId="2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3" xfId="4" applyFont="1" applyFill="1" applyBorder="1" applyAlignment="1">
      <alignment horizontal="center"/>
    </xf>
    <xf numFmtId="0" fontId="4" fillId="3" borderId="2" xfId="4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4" fillId="3" borderId="3" xfId="4" applyNumberFormat="1" applyFont="1" applyFill="1" applyBorder="1" applyAlignment="1">
      <alignment horizontal="center"/>
    </xf>
    <xf numFmtId="166" fontId="4" fillId="3" borderId="2" xfId="4" applyNumberFormat="1" applyFont="1" applyFill="1" applyBorder="1" applyAlignment="1">
      <alignment horizontal="center"/>
    </xf>
    <xf numFmtId="165" fontId="10" fillId="0" borderId="3" xfId="6" applyNumberFormat="1" applyBorder="1" applyAlignment="1">
      <alignment horizontal="center"/>
    </xf>
    <xf numFmtId="165" fontId="10" fillId="0" borderId="2" xfId="6" applyNumberFormat="1" applyBorder="1" applyAlignment="1">
      <alignment horizontal="center"/>
    </xf>
    <xf numFmtId="0" fontId="4" fillId="0" borderId="1" xfId="4" applyFont="1" applyBorder="1" applyAlignment="1">
      <alignment horizontal="center" vertical="center"/>
    </xf>
    <xf numFmtId="0" fontId="12" fillId="6" borderId="1" xfId="2" applyFont="1" applyFill="1" applyBorder="1" applyAlignment="1">
      <alignment horizontal="left" vertical="center" wrapText="1"/>
    </xf>
    <xf numFmtId="0" fontId="4" fillId="4" borderId="1" xfId="4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left" vertical="center" wrapText="1"/>
    </xf>
    <xf numFmtId="1" fontId="4" fillId="4" borderId="1" xfId="4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6" fillId="5" borderId="3" xfId="4" applyFont="1" applyFill="1" applyBorder="1" applyAlignment="1">
      <alignment horizontal="center" vertical="center"/>
    </xf>
    <xf numFmtId="0" fontId="6" fillId="5" borderId="6" xfId="4" applyFont="1" applyFill="1" applyBorder="1" applyAlignment="1">
      <alignment horizontal="center" vertical="center"/>
    </xf>
    <xf numFmtId="0" fontId="6" fillId="5" borderId="2" xfId="4" applyFont="1" applyFill="1" applyBorder="1" applyAlignment="1">
      <alignment horizontal="center" vertical="center"/>
    </xf>
    <xf numFmtId="0" fontId="12" fillId="0" borderId="1" xfId="4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 wrapText="1"/>
    </xf>
    <xf numFmtId="0" fontId="25" fillId="7" borderId="2" xfId="0" applyFont="1" applyFill="1" applyBorder="1" applyAlignment="1">
      <alignment horizontal="center" vertical="center" wrapText="1"/>
    </xf>
    <xf numFmtId="0" fontId="25" fillId="8" borderId="3" xfId="0" applyFont="1" applyFill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" vertical="center" wrapText="1"/>
    </xf>
    <xf numFmtId="1" fontId="3" fillId="0" borderId="1" xfId="1" applyNumberFormat="1" applyFont="1" applyFill="1" applyBorder="1" applyAlignment="1">
      <alignment horizontal="center" vertical="center"/>
    </xf>
    <xf numFmtId="0" fontId="25" fillId="7" borderId="11" xfId="0" applyFont="1" applyFill="1" applyBorder="1" applyAlignment="1">
      <alignment horizontal="center" vertical="center" wrapText="1"/>
    </xf>
    <xf numFmtId="0" fontId="25" fillId="7" borderId="9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 wrapText="1"/>
    </xf>
    <xf numFmtId="0" fontId="25" fillId="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Font="1" applyFill="1" applyBorder="1"/>
    <xf numFmtId="0" fontId="0" fillId="0" borderId="6" xfId="0" applyFont="1" applyFill="1" applyBorder="1"/>
    <xf numFmtId="0" fontId="0" fillId="0" borderId="2" xfId="0" applyFont="1" applyFill="1" applyBorder="1"/>
    <xf numFmtId="0" fontId="4" fillId="0" borderId="5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2" xfId="4" applyFont="1" applyBorder="1" applyAlignment="1">
      <alignment horizontal="left"/>
    </xf>
    <xf numFmtId="14" fontId="4" fillId="0" borderId="3" xfId="4" applyNumberFormat="1" applyFont="1" applyBorder="1" applyAlignment="1">
      <alignment horizontal="left"/>
    </xf>
    <xf numFmtId="0" fontId="12" fillId="0" borderId="1" xfId="4" applyFont="1" applyBorder="1" applyAlignment="1">
      <alignment horizontal="left" vertical="center" wrapText="1"/>
    </xf>
    <xf numFmtId="0" fontId="12" fillId="0" borderId="8" xfId="4" applyFont="1" applyBorder="1" applyAlignment="1">
      <alignment horizontal="left" vertical="center" wrapText="1"/>
    </xf>
    <xf numFmtId="0" fontId="12" fillId="0" borderId="13" xfId="4" applyFont="1" applyBorder="1" applyAlignment="1">
      <alignment horizontal="left" vertical="center" wrapText="1"/>
    </xf>
    <xf numFmtId="0" fontId="12" fillId="0" borderId="7" xfId="4" applyFont="1" applyBorder="1" applyAlignment="1">
      <alignment horizontal="left" vertical="center" wrapText="1"/>
    </xf>
    <xf numFmtId="0" fontId="12" fillId="0" borderId="5" xfId="4" applyFont="1" applyBorder="1" applyAlignment="1">
      <alignment horizontal="left" vertical="center" wrapText="1"/>
    </xf>
    <xf numFmtId="0" fontId="12" fillId="0" borderId="12" xfId="4" applyFont="1" applyBorder="1" applyAlignment="1">
      <alignment horizontal="left" vertical="center" wrapText="1"/>
    </xf>
    <xf numFmtId="0" fontId="12" fillId="0" borderId="4" xfId="4" applyFont="1" applyBorder="1" applyAlignment="1">
      <alignment horizontal="left" vertical="center" wrapText="1"/>
    </xf>
    <xf numFmtId="0" fontId="6" fillId="0" borderId="3" xfId="4" applyFont="1" applyBorder="1" applyAlignment="1">
      <alignment horizontal="center"/>
    </xf>
    <xf numFmtId="0" fontId="6" fillId="0" borderId="2" xfId="4" applyFont="1" applyBorder="1" applyAlignment="1">
      <alignment horizontal="center"/>
    </xf>
    <xf numFmtId="0" fontId="42" fillId="0" borderId="3" xfId="4" applyFont="1" applyBorder="1" applyAlignment="1">
      <alignment horizontal="center" vertical="center"/>
    </xf>
    <xf numFmtId="0" fontId="42" fillId="0" borderId="6" xfId="4" applyFont="1" applyBorder="1" applyAlignment="1">
      <alignment horizontal="center" vertical="center"/>
    </xf>
    <xf numFmtId="0" fontId="42" fillId="0" borderId="2" xfId="4" applyFont="1" applyBorder="1" applyAlignment="1">
      <alignment horizontal="center" vertical="center"/>
    </xf>
    <xf numFmtId="0" fontId="1" fillId="0" borderId="0" xfId="6" applyFont="1" applyAlignment="1">
      <alignment horizontal="left" vertical="center"/>
    </xf>
    <xf numFmtId="0" fontId="53" fillId="0" borderId="0" xfId="6" applyFont="1" applyAlignment="1">
      <alignment horizontal="center"/>
    </xf>
    <xf numFmtId="0" fontId="47" fillId="0" borderId="0" xfId="6" applyFont="1" applyAlignment="1">
      <alignment horizontal="center"/>
    </xf>
    <xf numFmtId="0" fontId="45" fillId="0" borderId="0" xfId="6" applyFont="1" applyAlignment="1">
      <alignment horizontal="center"/>
    </xf>
    <xf numFmtId="0" fontId="44" fillId="0" borderId="0" xfId="6" applyFont="1" applyAlignment="1">
      <alignment horizontal="center"/>
    </xf>
    <xf numFmtId="0" fontId="1" fillId="0" borderId="0" xfId="6" applyFont="1" applyAlignment="1">
      <alignment horizontal="center"/>
    </xf>
    <xf numFmtId="0" fontId="52" fillId="0" borderId="0" xfId="6" applyFont="1" applyAlignment="1">
      <alignment horizontal="center"/>
    </xf>
    <xf numFmtId="167" fontId="1" fillId="0" borderId="0" xfId="6" applyNumberFormat="1" applyFont="1" applyAlignment="1">
      <alignment horizontal="left" vertical="center"/>
    </xf>
    <xf numFmtId="0" fontId="63" fillId="0" borderId="0" xfId="0" applyFont="1" applyAlignment="1">
      <alignment horizontal="left" wrapText="1"/>
    </xf>
    <xf numFmtId="0" fontId="4" fillId="0" borderId="5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5" fillId="0" borderId="8" xfId="6" applyFont="1" applyBorder="1" applyAlignment="1">
      <alignment horizontal="center" vertical="center" wrapText="1"/>
    </xf>
    <xf numFmtId="0" fontId="45" fillId="0" borderId="13" xfId="6" applyFont="1" applyBorder="1" applyAlignment="1">
      <alignment horizontal="center" vertical="center" wrapText="1"/>
    </xf>
    <xf numFmtId="0" fontId="45" fillId="0" borderId="7" xfId="6" applyFont="1" applyBorder="1" applyAlignment="1">
      <alignment horizontal="center" vertical="center" wrapText="1"/>
    </xf>
    <xf numFmtId="0" fontId="57" fillId="0" borderId="15" xfId="6" applyFont="1" applyBorder="1" applyAlignment="1">
      <alignment horizontal="center" vertical="center" wrapText="1"/>
    </xf>
    <xf numFmtId="0" fontId="57" fillId="0" borderId="0" xfId="6" applyFont="1" applyBorder="1" applyAlignment="1">
      <alignment horizontal="center" vertical="center" wrapText="1"/>
    </xf>
    <xf numFmtId="0" fontId="57" fillId="0" borderId="14" xfId="6" applyFont="1" applyBorder="1" applyAlignment="1">
      <alignment horizontal="center" vertical="center" wrapText="1"/>
    </xf>
    <xf numFmtId="1" fontId="45" fillId="0" borderId="5" xfId="6" applyNumberFormat="1" applyFont="1" applyBorder="1" applyAlignment="1">
      <alignment horizontal="center" vertical="center"/>
    </xf>
    <xf numFmtId="1" fontId="45" fillId="0" borderId="12" xfId="6" applyNumberFormat="1" applyFont="1" applyBorder="1" applyAlignment="1">
      <alignment horizontal="center" vertical="center"/>
    </xf>
    <xf numFmtId="1" fontId="45" fillId="0" borderId="4" xfId="6" applyNumberFormat="1" applyFont="1" applyBorder="1" applyAlignment="1">
      <alignment horizontal="center" vertical="center"/>
    </xf>
    <xf numFmtId="15" fontId="45" fillId="0" borderId="5" xfId="6" applyNumberFormat="1" applyFont="1" applyBorder="1" applyAlignment="1">
      <alignment horizontal="center"/>
    </xf>
    <xf numFmtId="15" fontId="45" fillId="0" borderId="12" xfId="6" applyNumberFormat="1" applyFont="1" applyBorder="1" applyAlignment="1">
      <alignment horizontal="center"/>
    </xf>
    <xf numFmtId="15" fontId="45" fillId="0" borderId="4" xfId="6" applyNumberFormat="1" applyFont="1" applyBorder="1" applyAlignment="1">
      <alignment horizontal="center"/>
    </xf>
    <xf numFmtId="0" fontId="56" fillId="0" borderId="12" xfId="2" applyFont="1" applyBorder="1" applyAlignment="1">
      <alignment horizontal="center" vertical="center"/>
    </xf>
    <xf numFmtId="0" fontId="56" fillId="0" borderId="4" xfId="2" applyFont="1" applyBorder="1" applyAlignment="1">
      <alignment horizontal="center" vertical="center"/>
    </xf>
    <xf numFmtId="0" fontId="57" fillId="0" borderId="15" xfId="6" applyFont="1" applyBorder="1" applyAlignment="1">
      <alignment horizontal="center" vertical="center"/>
    </xf>
    <xf numFmtId="0" fontId="57" fillId="0" borderId="0" xfId="6" applyFont="1" applyAlignment="1">
      <alignment horizontal="center" vertical="center"/>
    </xf>
    <xf numFmtId="0" fontId="57" fillId="0" borderId="14" xfId="6" applyFont="1" applyBorder="1" applyAlignment="1">
      <alignment horizontal="center" vertical="center"/>
    </xf>
    <xf numFmtId="1" fontId="45" fillId="0" borderId="5" xfId="6" applyNumberFormat="1" applyFont="1" applyBorder="1" applyAlignment="1">
      <alignment horizontal="center"/>
    </xf>
    <xf numFmtId="1" fontId="45" fillId="0" borderId="12" xfId="6" applyNumberFormat="1" applyFont="1" applyBorder="1" applyAlignment="1">
      <alignment horizontal="center"/>
    </xf>
    <xf numFmtId="1" fontId="45" fillId="0" borderId="4" xfId="6" applyNumberFormat="1" applyFont="1" applyBorder="1" applyAlignment="1">
      <alignment horizontal="center"/>
    </xf>
    <xf numFmtId="0" fontId="57" fillId="0" borderId="0" xfId="6" applyFont="1" applyBorder="1" applyAlignment="1">
      <alignment horizontal="center" vertical="center"/>
    </xf>
    <xf numFmtId="0" fontId="45" fillId="0" borderId="5" xfId="6" applyFont="1" applyBorder="1" applyAlignment="1">
      <alignment horizontal="left"/>
    </xf>
    <xf numFmtId="0" fontId="45" fillId="0" borderId="12" xfId="6" applyFont="1" applyBorder="1" applyAlignment="1">
      <alignment horizontal="left"/>
    </xf>
    <xf numFmtId="0" fontId="45" fillId="0" borderId="4" xfId="6" applyFont="1" applyBorder="1" applyAlignment="1">
      <alignment horizontal="left"/>
    </xf>
    <xf numFmtId="0" fontId="45" fillId="0" borderId="0" xfId="6" applyFont="1" applyAlignment="1">
      <alignment vertical="center" wrapText="1"/>
    </xf>
    <xf numFmtId="0" fontId="45" fillId="0" borderId="0" xfId="6" applyFont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0" xfId="6" applyFont="1" applyAlignment="1">
      <alignment vertical="center"/>
    </xf>
    <xf numFmtId="2" fontId="1" fillId="0" borderId="9" xfId="6" applyNumberFormat="1" applyFont="1" applyBorder="1" applyAlignment="1">
      <alignment horizontal="center"/>
    </xf>
    <xf numFmtId="0" fontId="1" fillId="0" borderId="9" xfId="6" applyFont="1" applyBorder="1" applyAlignment="1">
      <alignment horizontal="center"/>
    </xf>
    <xf numFmtId="0" fontId="45" fillId="0" borderId="0" xfId="6" applyFont="1" applyAlignment="1">
      <alignment wrapText="1"/>
    </xf>
    <xf numFmtId="0" fontId="45" fillId="0" borderId="0" xfId="6" applyFont="1"/>
    <xf numFmtId="0" fontId="44" fillId="0" borderId="0" xfId="6" applyFont="1" applyAlignment="1">
      <alignment wrapText="1"/>
    </xf>
    <xf numFmtId="0" fontId="44" fillId="0" borderId="0" xfId="6" applyFont="1"/>
    <xf numFmtId="0" fontId="45" fillId="0" borderId="3" xfId="6" applyFont="1" applyBorder="1" applyAlignment="1">
      <alignment horizontal="center" vertical="top"/>
    </xf>
    <xf numFmtId="0" fontId="45" fillId="0" borderId="6" xfId="6" applyFont="1" applyBorder="1" applyAlignment="1">
      <alignment horizontal="center" vertical="top"/>
    </xf>
    <xf numFmtId="0" fontId="45" fillId="0" borderId="2" xfId="6" applyFont="1" applyBorder="1" applyAlignment="1">
      <alignment horizontal="center" vertical="top"/>
    </xf>
    <xf numFmtId="0" fontId="48" fillId="0" borderId="0" xfId="6" applyFont="1" applyAlignment="1">
      <alignment horizontal="center"/>
    </xf>
    <xf numFmtId="0" fontId="45" fillId="0" borderId="8" xfId="6" applyFont="1" applyBorder="1" applyAlignment="1">
      <alignment horizontal="center"/>
    </xf>
    <xf numFmtId="0" fontId="45" fillId="0" borderId="13" xfId="6" applyFont="1" applyBorder="1" applyAlignment="1">
      <alignment horizontal="center"/>
    </xf>
    <xf numFmtId="0" fontId="1" fillId="0" borderId="0" xfId="6" applyFont="1" applyAlignment="1">
      <alignment horizontal="left"/>
    </xf>
    <xf numFmtId="168" fontId="1" fillId="0" borderId="0" xfId="6" applyNumberFormat="1" applyFont="1" applyAlignment="1">
      <alignment horizontal="left" vertical="center"/>
    </xf>
    <xf numFmtId="168" fontId="0" fillId="0" borderId="0" xfId="6" applyNumberFormat="1" applyFont="1" applyAlignment="1">
      <alignment horizontal="left" vertical="center"/>
    </xf>
    <xf numFmtId="0" fontId="45" fillId="0" borderId="7" xfId="6" applyFont="1" applyBorder="1" applyAlignment="1">
      <alignment horizontal="center"/>
    </xf>
    <xf numFmtId="0" fontId="44" fillId="0" borderId="5" xfId="6" applyFont="1" applyBorder="1" applyAlignment="1">
      <alignment horizontal="center" vertical="top"/>
    </xf>
    <xf numFmtId="0" fontId="44" fillId="0" borderId="12" xfId="6" applyFont="1" applyBorder="1" applyAlignment="1">
      <alignment horizontal="center" vertical="top"/>
    </xf>
    <xf numFmtId="0" fontId="44" fillId="0" borderId="4" xfId="6" applyFont="1" applyBorder="1" applyAlignment="1">
      <alignment horizontal="center" vertical="top"/>
    </xf>
    <xf numFmtId="2" fontId="1" fillId="0" borderId="3" xfId="6" applyNumberFormat="1" applyFont="1" applyBorder="1" applyAlignment="1">
      <alignment horizontal="center"/>
    </xf>
    <xf numFmtId="2" fontId="1" fillId="0" borderId="6" xfId="6" applyNumberFormat="1" applyFont="1" applyBorder="1" applyAlignment="1">
      <alignment horizontal="center"/>
    </xf>
    <xf numFmtId="2" fontId="1" fillId="0" borderId="2" xfId="6" applyNumberFormat="1" applyFont="1" applyBorder="1" applyAlignment="1">
      <alignment horizontal="center"/>
    </xf>
    <xf numFmtId="0" fontId="59" fillId="0" borderId="8" xfId="2" applyFont="1" applyBorder="1" applyAlignment="1">
      <alignment horizontal="center" vertical="center" wrapText="1"/>
    </xf>
    <xf numFmtId="0" fontId="59" fillId="0" borderId="13" xfId="2" applyFont="1" applyBorder="1" applyAlignment="1">
      <alignment horizontal="center" vertical="center" wrapText="1"/>
    </xf>
    <xf numFmtId="0" fontId="59" fillId="0" borderId="7" xfId="2" applyFont="1" applyBorder="1" applyAlignment="1">
      <alignment horizontal="center" vertical="center" wrapText="1"/>
    </xf>
    <xf numFmtId="0" fontId="58" fillId="0" borderId="15" xfId="2" applyFont="1" applyBorder="1" applyAlignment="1">
      <alignment horizontal="center" vertical="center" wrapText="1"/>
    </xf>
    <xf numFmtId="0" fontId="58" fillId="0" borderId="0" xfId="2" applyFont="1" applyBorder="1" applyAlignment="1">
      <alignment horizontal="center" vertical="center" wrapText="1"/>
    </xf>
    <xf numFmtId="0" fontId="58" fillId="0" borderId="14" xfId="2" applyFont="1" applyBorder="1" applyAlignment="1">
      <alignment horizontal="center" vertical="center" wrapText="1"/>
    </xf>
    <xf numFmtId="0" fontId="56" fillId="0" borderId="5" xfId="2" applyFont="1" applyBorder="1" applyAlignment="1">
      <alignment horizontal="center" vertical="center"/>
    </xf>
    <xf numFmtId="0" fontId="45" fillId="0" borderId="8" xfId="6" applyFont="1" applyBorder="1" applyAlignment="1">
      <alignment horizontal="center" vertical="center"/>
    </xf>
    <xf numFmtId="0" fontId="45" fillId="0" borderId="13" xfId="6" applyFont="1" applyBorder="1" applyAlignment="1">
      <alignment horizontal="center" vertical="center"/>
    </xf>
    <xf numFmtId="0" fontId="45" fillId="0" borderId="7" xfId="6" applyFont="1" applyBorder="1" applyAlignment="1">
      <alignment horizontal="center" vertical="center"/>
    </xf>
    <xf numFmtId="0" fontId="45" fillId="0" borderId="5" xfId="6" applyFont="1" applyBorder="1" applyAlignment="1">
      <alignment horizontal="left" wrapText="1"/>
    </xf>
    <xf numFmtId="0" fontId="45" fillId="0" borderId="12" xfId="6" applyFont="1" applyBorder="1" applyAlignment="1">
      <alignment horizontal="left" wrapText="1"/>
    </xf>
    <xf numFmtId="0" fontId="45" fillId="0" borderId="4" xfId="6" applyFont="1" applyBorder="1" applyAlignment="1">
      <alignment horizontal="left" wrapText="1"/>
    </xf>
    <xf numFmtId="15" fontId="45" fillId="0" borderId="5" xfId="6" applyNumberFormat="1" applyFont="1" applyBorder="1" applyAlignment="1">
      <alignment horizontal="center" vertical="center"/>
    </xf>
    <xf numFmtId="15" fontId="45" fillId="0" borderId="12" xfId="6" applyNumberFormat="1" applyFont="1" applyBorder="1" applyAlignment="1">
      <alignment horizontal="center" vertical="center"/>
    </xf>
    <xf numFmtId="15" fontId="45" fillId="0" borderId="4" xfId="6" applyNumberFormat="1" applyFont="1" applyBorder="1" applyAlignment="1">
      <alignment horizontal="center" vertical="center"/>
    </xf>
    <xf numFmtId="165" fontId="1" fillId="0" borderId="3" xfId="6" applyNumberFormat="1" applyFont="1" applyBorder="1" applyAlignment="1">
      <alignment horizontal="center"/>
    </xf>
    <xf numFmtId="165" fontId="1" fillId="0" borderId="6" xfId="6" applyNumberFormat="1" applyFont="1" applyBorder="1" applyAlignment="1">
      <alignment horizontal="center"/>
    </xf>
    <xf numFmtId="165" fontId="1" fillId="0" borderId="2" xfId="6" applyNumberFormat="1" applyFont="1" applyBorder="1" applyAlignment="1">
      <alignment horizontal="center"/>
    </xf>
  </cellXfs>
  <cellStyles count="10">
    <cellStyle name="Normal" xfId="0" builtinId="0"/>
    <cellStyle name="Normal 10" xfId="6" xr:uid="{0A83F4ED-FB14-4846-A2E6-6A7265E3FEA8}"/>
    <cellStyle name="Normal 2" xfId="2" xr:uid="{57ADD2B0-F96C-4A56-82EC-6C5AA5874FA4}"/>
    <cellStyle name="Normal 2 2" xfId="7" xr:uid="{65764887-3583-4A39-91D5-C0428065E11B}"/>
    <cellStyle name="Normal 3" xfId="4" xr:uid="{289A2B1B-0051-485B-9F6C-AFC8C959E8A8}"/>
    <cellStyle name="Normal 4" xfId="9" xr:uid="{EBC5D089-0515-47B5-B0CD-BB9B37D4D16E}"/>
    <cellStyle name="Normal 4 2 2 2" xfId="8" xr:uid="{B0173EAF-2324-4BA7-9196-94E7DFCFA26D}"/>
    <cellStyle name="Normal 5" xfId="3" xr:uid="{5665E16C-AF86-4E18-9D0A-603700197DA1}"/>
    <cellStyle name="Normal 7" xfId="5" xr:uid="{03D71E9A-6ECA-40E5-B0F2-D34498C93026}"/>
    <cellStyle name="Percent" xfId="1" builtinId="5"/>
  </cellStyles>
  <dxfs count="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24493</xdr:rowOff>
    </xdr:from>
    <xdr:ext cx="1251212" cy="813707"/>
    <xdr:pic>
      <xdr:nvPicPr>
        <xdr:cNvPr id="2" name="Picture 1">
          <a:extLst>
            <a:ext uri="{FF2B5EF4-FFF2-40B4-BE49-F238E27FC236}">
              <a16:creationId xmlns:a16="http://schemas.microsoft.com/office/drawing/2014/main" id="{DCC89261-F226-4DD0-88E8-830C94BDB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93"/>
          <a:ext cx="1251212" cy="8137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87765</xdr:colOff>
      <xdr:row>0</xdr:row>
      <xdr:rowOff>0</xdr:rowOff>
    </xdr:from>
    <xdr:to>
      <xdr:col>17</xdr:col>
      <xdr:colOff>268741</xdr:colOff>
      <xdr:row>6</xdr:row>
      <xdr:rowOff>180975</xdr:rowOff>
    </xdr:to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3897C26E-AD99-4A8F-A9D8-6A394047E4BE}"/>
            </a:ext>
          </a:extLst>
        </xdr:cNvPr>
        <xdr:cNvSpPr>
          <a:spLocks noChangeArrowheads="1"/>
        </xdr:cNvSpPr>
      </xdr:nvSpPr>
      <xdr:spPr bwMode="auto">
        <a:xfrm>
          <a:off x="2526165" y="0"/>
          <a:ext cx="8105776" cy="13239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500"/>
            </a:lnSpc>
            <a:defRPr sz="1000"/>
          </a:pPr>
          <a:r>
            <a:rPr lang="en-ID" sz="2000" b="1" i="0" u="none" strike="noStrike" baseline="0">
              <a:solidFill>
                <a:schemeClr val="tx2">
                  <a:lumMod val="75000"/>
                </a:schemeClr>
              </a:solidFill>
              <a:latin typeface="Aharoni" panose="02010803020104030203" pitchFamily="2" charset="-79"/>
              <a:cs typeface="Aharoni" panose="02010803020104030203" pitchFamily="2" charset="-79"/>
            </a:rPr>
            <a:t>PT.PRESISI KALIBRASI MEDIKA</a:t>
          </a:r>
        </a:p>
        <a:p>
          <a:pPr algn="ctr" rtl="0">
            <a:lnSpc>
              <a:spcPts val="1300"/>
            </a:lnSpc>
            <a:defRPr sz="1000"/>
          </a:pPr>
          <a:r>
            <a:rPr lang="en-ID" sz="1100" b="0" i="0" u="none" strike="noStrike" baseline="0">
              <a:solidFill>
                <a:schemeClr val="tx2">
                  <a:lumMod val="75000"/>
                </a:schemeClr>
              </a:solidFill>
              <a:latin typeface="Aharoni" panose="02010803020104030203" pitchFamily="2" charset="-79"/>
              <a:cs typeface="Aharoni" panose="02010803020104030203" pitchFamily="2" charset="-79"/>
            </a:rPr>
            <a:t>CALIBRATION &amp; TESTING OF MEDICAL EQUIPMENT</a:t>
          </a:r>
        </a:p>
        <a:p>
          <a:pPr algn="ctr" rtl="0">
            <a:lnSpc>
              <a:spcPts val="1300"/>
            </a:lnSpc>
            <a:defRPr sz="1000"/>
          </a:pPr>
          <a:r>
            <a:rPr lang="en-ID" sz="900">
              <a:latin typeface="+mj-lt"/>
            </a:rPr>
            <a:t>Gedung Graha Bumi Indah - Lantai 3, Jl. Inspeksi Kalimalang Kavling Agraria Blok E No. 10, Kel. Duren Sawit, Kec. Duren Sawit, Kota Adm. Jakarta Timur, Provinsi DKI Jakarta,</a:t>
          </a:r>
          <a:endParaRPr lang="en-ID" sz="900" b="0" i="0" u="none" strike="noStrike" baseline="0">
            <a:solidFill>
              <a:schemeClr val="tx2">
                <a:lumMod val="75000"/>
              </a:schemeClr>
            </a:solidFill>
            <a:latin typeface="+mj-lt"/>
            <a:cs typeface="Aharoni" panose="02010803020104030203" pitchFamily="2" charset="-79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24493</xdr:rowOff>
    </xdr:from>
    <xdr:ext cx="1251212" cy="813707"/>
    <xdr:pic>
      <xdr:nvPicPr>
        <xdr:cNvPr id="2" name="Picture 1">
          <a:extLst>
            <a:ext uri="{FF2B5EF4-FFF2-40B4-BE49-F238E27FC236}">
              <a16:creationId xmlns:a16="http://schemas.microsoft.com/office/drawing/2014/main" id="{C185D7A9-BC9D-4C45-A4C9-A4B09CFC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93"/>
          <a:ext cx="1251212" cy="8137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87765</xdr:colOff>
      <xdr:row>0</xdr:row>
      <xdr:rowOff>0</xdr:rowOff>
    </xdr:from>
    <xdr:to>
      <xdr:col>17</xdr:col>
      <xdr:colOff>268741</xdr:colOff>
      <xdr:row>6</xdr:row>
      <xdr:rowOff>180975</xdr:rowOff>
    </xdr:to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47996FA2-4421-4C72-ADAE-385B96DE395E}"/>
            </a:ext>
          </a:extLst>
        </xdr:cNvPr>
        <xdr:cNvSpPr>
          <a:spLocks noChangeArrowheads="1"/>
        </xdr:cNvSpPr>
      </xdr:nvSpPr>
      <xdr:spPr bwMode="auto">
        <a:xfrm>
          <a:off x="2526165" y="0"/>
          <a:ext cx="8105776" cy="132397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500"/>
            </a:lnSpc>
            <a:defRPr sz="1000"/>
          </a:pPr>
          <a:r>
            <a:rPr lang="en-ID" sz="2000" b="1" i="0" u="none" strike="noStrike" baseline="0">
              <a:solidFill>
                <a:schemeClr val="tx2">
                  <a:lumMod val="75000"/>
                </a:schemeClr>
              </a:solidFill>
              <a:latin typeface="Aharoni" panose="02010803020104030203" pitchFamily="2" charset="-79"/>
              <a:cs typeface="Aharoni" panose="02010803020104030203" pitchFamily="2" charset="-79"/>
            </a:rPr>
            <a:t>PT.PRESISI KALIBRASI MEDIKA</a:t>
          </a:r>
        </a:p>
        <a:p>
          <a:pPr algn="ctr" rtl="0">
            <a:lnSpc>
              <a:spcPts val="1300"/>
            </a:lnSpc>
            <a:defRPr sz="1000"/>
          </a:pPr>
          <a:r>
            <a:rPr lang="en-ID" sz="1100" b="0" i="0" u="none" strike="noStrike" baseline="0">
              <a:solidFill>
                <a:schemeClr val="tx2">
                  <a:lumMod val="75000"/>
                </a:schemeClr>
              </a:solidFill>
              <a:latin typeface="Aharoni" panose="02010803020104030203" pitchFamily="2" charset="-79"/>
              <a:cs typeface="Aharoni" panose="02010803020104030203" pitchFamily="2" charset="-79"/>
            </a:rPr>
            <a:t>CALIBRATION &amp; TESTING OF MEDICAL EQUIPMENT</a:t>
          </a:r>
        </a:p>
        <a:p>
          <a:pPr algn="ctr" rtl="0">
            <a:lnSpc>
              <a:spcPts val="1300"/>
            </a:lnSpc>
            <a:defRPr sz="1000"/>
          </a:pPr>
          <a:r>
            <a:rPr lang="en-ID" sz="900">
              <a:latin typeface="+mj-lt"/>
            </a:rPr>
            <a:t>Gedung Graha Bumi Indah - Lantai 3, Jl. Inspeksi Kalimalang Kavling Agraria Blok E No. 10, Kel. Duren Sawit, Kec. Duren Sawit, Kota Adm. Jakarta Timur, Provinsi DKI Jakarta,</a:t>
          </a:r>
          <a:endParaRPr lang="en-ID" sz="900" b="0" i="0" u="none" strike="noStrike" baseline="0">
            <a:solidFill>
              <a:schemeClr val="tx2">
                <a:lumMod val="75000"/>
              </a:schemeClr>
            </a:solidFill>
            <a:latin typeface="+mj-lt"/>
            <a:cs typeface="Aharoni" panose="02010803020104030203" pitchFamily="2" charset="-79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aster%20CMC\array%20thermohygrome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ster%20CMC/Array/array%20thermohygromet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fusion%20Pu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RAY"/>
      <sheetName val="TH-01"/>
      <sheetName val="TH-02"/>
      <sheetName val="TH-03"/>
      <sheetName val="TH-04"/>
    </sheetNames>
    <sheetDataSet>
      <sheetData sheetId="0">
        <row r="6">
          <cell r="D6" t="str">
            <v>TH-01</v>
          </cell>
          <cell r="E6">
            <v>1</v>
          </cell>
          <cell r="F6" t="str">
            <v>Digital thermohygrometer</v>
          </cell>
          <cell r="G6" t="str">
            <v>Taffware</v>
          </cell>
          <cell r="H6" t="str">
            <v>HTC-1</v>
          </cell>
          <cell r="I6">
            <v>-0.3531747919143875</v>
          </cell>
          <cell r="J6">
            <v>1.0389536266349582</v>
          </cell>
          <cell r="K6">
            <v>-19.598181818181821</v>
          </cell>
          <cell r="L6">
            <v>1.3814545454545455</v>
          </cell>
          <cell r="N6">
            <v>2.7</v>
          </cell>
          <cell r="O6">
            <v>45799</v>
          </cell>
        </row>
        <row r="7">
          <cell r="D7" t="str">
            <v>TH-02</v>
          </cell>
          <cell r="E7">
            <v>2</v>
          </cell>
          <cell r="F7" t="str">
            <v>Digital thermohygrometer</v>
          </cell>
          <cell r="G7" t="str">
            <v>Taffware</v>
          </cell>
          <cell r="H7" t="str">
            <v>HTC-1</v>
          </cell>
          <cell r="I7">
            <v>-3.6218787158141197E-2</v>
          </cell>
          <cell r="J7">
            <v>1.0230439952437573</v>
          </cell>
          <cell r="K7">
            <v>-20.981818181818163</v>
          </cell>
          <cell r="L7">
            <v>1.3290909090909087</v>
          </cell>
          <cell r="N7">
            <v>3.1</v>
          </cell>
          <cell r="O7">
            <v>45799</v>
          </cell>
        </row>
        <row r="8">
          <cell r="D8" t="str">
            <v>TH-03</v>
          </cell>
          <cell r="E8">
            <v>3</v>
          </cell>
          <cell r="F8" t="str">
            <v>Digital thermohygrometer</v>
          </cell>
          <cell r="G8" t="str">
            <v>Taffware</v>
          </cell>
          <cell r="H8" t="str">
            <v>HTC-1</v>
          </cell>
          <cell r="I8">
            <v>-0.40318668252080059</v>
          </cell>
          <cell r="J8">
            <v>1.0430321046373363</v>
          </cell>
          <cell r="K8">
            <v>-19.666363636363634</v>
          </cell>
          <cell r="L8">
            <v>1.3078181818181818</v>
          </cell>
          <cell r="N8">
            <v>2.7</v>
          </cell>
          <cell r="O8">
            <v>45799</v>
          </cell>
        </row>
        <row r="9">
          <cell r="D9" t="str">
            <v>TH-04</v>
          </cell>
          <cell r="E9">
            <v>4</v>
          </cell>
          <cell r="F9" t="str">
            <v>Digital thermohygrometer</v>
          </cell>
          <cell r="G9" t="str">
            <v>Taffware</v>
          </cell>
          <cell r="H9" t="str">
            <v>HTC-1</v>
          </cell>
          <cell r="I9">
            <v>0.19985731272295126</v>
          </cell>
          <cell r="J9">
            <v>0.99894173602853731</v>
          </cell>
          <cell r="K9">
            <v>-20.049999999999997</v>
          </cell>
          <cell r="L9">
            <v>1.3190909090909091</v>
          </cell>
          <cell r="N9">
            <v>2.9</v>
          </cell>
          <cell r="O9">
            <v>45799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RAY"/>
      <sheetName val="TH-01"/>
      <sheetName val="TH-02"/>
      <sheetName val="TH-03"/>
      <sheetName val="TH-04"/>
    </sheetNames>
    <sheetDataSet>
      <sheetData sheetId="0">
        <row r="6">
          <cell r="M6">
            <v>0.5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skorsing"/>
      <sheetName val="budget"/>
      <sheetName val="Laporan"/>
      <sheetName val="Cover"/>
      <sheetName val="Laporan Print"/>
    </sheetNames>
    <sheetDataSet>
      <sheetData sheetId="0">
        <row r="72">
          <cell r="B72">
            <v>100</v>
          </cell>
        </row>
      </sheetData>
      <sheetData sheetId="1">
        <row r="22">
          <cell r="I22" t="str">
            <v>-</v>
          </cell>
        </row>
        <row r="30">
          <cell r="F30">
            <v>1</v>
          </cell>
        </row>
        <row r="34">
          <cell r="F34">
            <v>1</v>
          </cell>
        </row>
        <row r="38">
          <cell r="F38">
            <v>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4E26-AD17-4C7A-8570-5821FECF6649}">
  <dimension ref="B1:AE64"/>
  <sheetViews>
    <sheetView tabSelected="1" topLeftCell="A7" workbookViewId="0">
      <selection activeCell="G18" sqref="G18"/>
    </sheetView>
  </sheetViews>
  <sheetFormatPr defaultRowHeight="15"/>
  <cols>
    <col min="1" max="1" width="9.140625" style="1"/>
    <col min="2" max="2" width="15.42578125" style="1" customWidth="1"/>
    <col min="3" max="3" width="17.85546875" style="1" customWidth="1"/>
    <col min="4" max="4" width="18.5703125" style="1" customWidth="1"/>
    <col min="5" max="7" width="16.85546875" style="1" customWidth="1"/>
    <col min="8" max="9" width="15.140625" style="1" customWidth="1"/>
    <col min="10" max="10" width="13.85546875" style="1" customWidth="1"/>
    <col min="11" max="11" width="15.5703125" style="1" customWidth="1"/>
    <col min="12" max="12" width="17.28515625" style="1" customWidth="1"/>
    <col min="13" max="13" width="18.28515625" style="1" bestFit="1" customWidth="1"/>
    <col min="14" max="14" width="12.5703125" style="1" customWidth="1"/>
    <col min="15" max="15" width="9.5703125" style="1" customWidth="1"/>
    <col min="16" max="16" width="12.5703125" style="1" customWidth="1"/>
    <col min="17" max="17" width="9.7109375" style="1" customWidth="1"/>
    <col min="18" max="18" width="13.28515625" style="1" customWidth="1"/>
    <col min="19" max="19" width="9.28515625" style="1" customWidth="1"/>
    <col min="20" max="20" width="8.5703125" style="1" customWidth="1"/>
    <col min="21" max="21" width="8.42578125" style="1" customWidth="1"/>
    <col min="22" max="22" width="12.5703125" style="1" customWidth="1"/>
    <col min="23" max="23" width="12.140625" style="1" customWidth="1"/>
    <col min="24" max="24" width="7.7109375" style="1" customWidth="1"/>
    <col min="25" max="25" width="9.5703125" style="1" customWidth="1"/>
    <col min="26" max="27" width="7.7109375" style="1" customWidth="1"/>
    <col min="28" max="28" width="9.85546875" style="1" customWidth="1"/>
    <col min="29" max="29" width="14" style="1" customWidth="1"/>
    <col min="30" max="30" width="19.140625" style="1" customWidth="1"/>
    <col min="31" max="31" width="9.140625" style="1"/>
    <col min="32" max="32" width="9.7109375" style="1" customWidth="1"/>
    <col min="33" max="33" width="5.7109375" style="1" customWidth="1"/>
    <col min="34" max="16384" width="9.140625" style="1"/>
  </cols>
  <sheetData>
    <row r="1" spans="2:31">
      <c r="B1" s="13"/>
      <c r="C1" s="15"/>
      <c r="D1" s="15"/>
      <c r="E1" s="15"/>
      <c r="F1" s="15"/>
      <c r="G1" s="15"/>
      <c r="H1" s="15"/>
      <c r="I1" s="13"/>
    </row>
    <row r="2" spans="2:31">
      <c r="B2" s="13"/>
      <c r="C2" s="181" t="s">
        <v>44</v>
      </c>
      <c r="D2" s="181"/>
      <c r="E2" s="181"/>
      <c r="F2" s="181"/>
      <c r="G2" s="181"/>
      <c r="H2" s="181"/>
      <c r="I2" s="55"/>
    </row>
    <row r="3" spans="2:31">
      <c r="B3" s="13"/>
      <c r="C3" s="54"/>
      <c r="D3" s="54"/>
      <c r="E3" s="54"/>
      <c r="F3" s="54"/>
      <c r="G3" s="14"/>
      <c r="H3" s="54"/>
      <c r="I3" s="54"/>
    </row>
    <row r="4" spans="2:31">
      <c r="B4" s="37" t="s">
        <v>43</v>
      </c>
      <c r="D4" s="53"/>
      <c r="E4" s="53"/>
      <c r="F4" s="53"/>
      <c r="G4" s="53"/>
      <c r="H4" s="53"/>
      <c r="I4" s="53"/>
    </row>
    <row r="5" spans="2:31" ht="15.75">
      <c r="B5" s="15" t="s">
        <v>42</v>
      </c>
      <c r="C5" s="171" t="s">
        <v>257</v>
      </c>
      <c r="D5" s="174"/>
      <c r="E5" s="15" t="s">
        <v>41</v>
      </c>
      <c r="F5" s="13"/>
      <c r="G5" s="198"/>
      <c r="H5" s="199"/>
      <c r="P5" s="52"/>
      <c r="Q5" s="18"/>
      <c r="R5" s="18"/>
      <c r="S5" s="18"/>
      <c r="T5" s="18"/>
      <c r="U5" s="18"/>
      <c r="V5" s="18"/>
      <c r="W5" s="18"/>
      <c r="X5" s="18"/>
      <c r="Y5" s="18"/>
      <c r="Z5" s="51"/>
      <c r="AA5" s="51"/>
      <c r="AB5" s="51"/>
      <c r="AC5" s="50"/>
      <c r="AD5" s="50"/>
      <c r="AE5" s="18"/>
    </row>
    <row r="6" spans="2:31" ht="15" customHeight="1">
      <c r="B6" s="15" t="s">
        <v>40</v>
      </c>
      <c r="C6" s="171" t="s">
        <v>247</v>
      </c>
      <c r="D6" s="174"/>
      <c r="E6" s="15" t="s">
        <v>39</v>
      </c>
      <c r="F6" s="13"/>
      <c r="G6" s="187" t="s">
        <v>251</v>
      </c>
      <c r="H6" s="188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0"/>
      <c r="AD6" s="50"/>
      <c r="AE6" s="18"/>
    </row>
    <row r="7" spans="2:31" ht="15" customHeight="1">
      <c r="B7" s="15" t="s">
        <v>38</v>
      </c>
      <c r="C7" s="187" t="s">
        <v>248</v>
      </c>
      <c r="D7" s="188"/>
      <c r="E7" s="15" t="s">
        <v>37</v>
      </c>
      <c r="F7" s="15"/>
      <c r="G7" s="187" t="s">
        <v>252</v>
      </c>
      <c r="H7" s="188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0"/>
      <c r="AD7" s="49"/>
      <c r="AE7" s="18"/>
    </row>
    <row r="8" spans="2:31" ht="15" customHeight="1">
      <c r="B8" s="15" t="s">
        <v>36</v>
      </c>
      <c r="C8" s="187" t="s">
        <v>249</v>
      </c>
      <c r="D8" s="188"/>
      <c r="E8" s="13" t="s">
        <v>35</v>
      </c>
      <c r="F8" s="13"/>
      <c r="G8" s="178">
        <v>45880</v>
      </c>
      <c r="H8" s="174"/>
      <c r="P8" s="51"/>
      <c r="Q8" s="51"/>
      <c r="R8" s="51"/>
      <c r="S8" s="51"/>
      <c r="T8" s="51"/>
      <c r="U8" s="51"/>
      <c r="V8" s="34"/>
      <c r="W8" s="34"/>
      <c r="X8" s="34"/>
      <c r="Y8" s="34"/>
      <c r="Z8" s="51"/>
      <c r="AA8" s="34"/>
      <c r="AB8" s="34"/>
      <c r="AC8" s="50"/>
      <c r="AD8" s="49"/>
      <c r="AE8" s="18"/>
    </row>
    <row r="9" spans="2:31">
      <c r="B9" s="15" t="s">
        <v>34</v>
      </c>
      <c r="C9" s="187" t="s">
        <v>250</v>
      </c>
      <c r="D9" s="188"/>
      <c r="E9" s="15" t="s">
        <v>33</v>
      </c>
      <c r="F9" s="15"/>
      <c r="G9" s="178">
        <v>45884</v>
      </c>
      <c r="H9" s="174"/>
      <c r="P9" s="35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3"/>
      <c r="AD9" s="33"/>
      <c r="AE9" s="18"/>
    </row>
    <row r="10" spans="2:31">
      <c r="B10" s="15" t="s">
        <v>32</v>
      </c>
      <c r="C10" s="187"/>
      <c r="D10" s="188"/>
      <c r="E10" s="15" t="s">
        <v>31</v>
      </c>
      <c r="F10" s="15"/>
      <c r="G10" s="187" t="s">
        <v>253</v>
      </c>
      <c r="H10" s="188"/>
      <c r="P10" s="35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3"/>
      <c r="AD10" s="33"/>
      <c r="AE10" s="18"/>
    </row>
    <row r="11" spans="2:31">
      <c r="B11" s="15" t="s">
        <v>30</v>
      </c>
      <c r="C11" s="175">
        <v>0.1</v>
      </c>
      <c r="D11" s="176" t="s">
        <v>45</v>
      </c>
      <c r="E11" s="13"/>
      <c r="F11" s="13"/>
      <c r="G11" s="13"/>
      <c r="H11" s="13"/>
      <c r="P11" s="35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3"/>
      <c r="AD11" s="33"/>
      <c r="AE11" s="18"/>
    </row>
    <row r="12" spans="2:31">
      <c r="B12" s="15"/>
      <c r="C12" s="175"/>
      <c r="D12" s="176"/>
      <c r="E12" s="13"/>
      <c r="F12" s="13"/>
      <c r="G12" s="13"/>
      <c r="H12" s="13"/>
      <c r="P12" s="35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3"/>
      <c r="AD12" s="33"/>
      <c r="AE12" s="18"/>
    </row>
    <row r="13" spans="2:31">
      <c r="B13" s="13"/>
      <c r="C13" s="15"/>
      <c r="D13" s="47"/>
      <c r="E13" s="13"/>
      <c r="F13" s="15"/>
      <c r="G13" s="15"/>
      <c r="H13" s="46"/>
      <c r="I13" s="13"/>
      <c r="P13" s="35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3"/>
      <c r="AD13" s="33"/>
      <c r="AE13" s="18"/>
    </row>
    <row r="14" spans="2:31">
      <c r="B14" s="16" t="s">
        <v>29</v>
      </c>
      <c r="D14" s="14"/>
      <c r="E14" s="45"/>
      <c r="F14" s="28"/>
      <c r="G14" s="14"/>
      <c r="H14" s="13"/>
      <c r="I14" s="13"/>
      <c r="P14" s="35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3"/>
      <c r="AD14" s="33"/>
      <c r="AE14" s="18"/>
    </row>
    <row r="15" spans="2:31">
      <c r="B15" s="27" t="s">
        <v>8</v>
      </c>
      <c r="C15" s="206" t="s">
        <v>28</v>
      </c>
      <c r="D15" s="207"/>
      <c r="E15" s="44" t="s">
        <v>27</v>
      </c>
      <c r="F15" s="27" t="s">
        <v>26</v>
      </c>
      <c r="G15" s="12" t="s">
        <v>25</v>
      </c>
      <c r="H15" s="13"/>
      <c r="I15" s="13"/>
      <c r="P15" s="35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3"/>
      <c r="AD15" s="33"/>
      <c r="AE15" s="18"/>
    </row>
    <row r="16" spans="2:31">
      <c r="B16" s="42">
        <v>1</v>
      </c>
      <c r="C16" s="208" t="s">
        <v>46</v>
      </c>
      <c r="D16" s="209"/>
      <c r="E16" s="43" t="s">
        <v>254</v>
      </c>
      <c r="F16" s="43" t="s">
        <v>254</v>
      </c>
      <c r="G16" s="43" t="s">
        <v>254</v>
      </c>
      <c r="H16" s="13"/>
      <c r="I16" s="13"/>
      <c r="P16" s="35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3"/>
      <c r="AD16" s="33"/>
      <c r="AE16" s="18"/>
    </row>
    <row r="17" spans="2:31">
      <c r="B17" s="42">
        <v>2</v>
      </c>
      <c r="C17" s="208" t="s">
        <v>47</v>
      </c>
      <c r="D17" s="209"/>
      <c r="E17" s="41" t="s">
        <v>254</v>
      </c>
      <c r="F17" s="41" t="s">
        <v>254</v>
      </c>
      <c r="G17" s="41" t="s">
        <v>254</v>
      </c>
      <c r="H17" s="13"/>
      <c r="I17" s="13"/>
      <c r="P17" s="35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3"/>
      <c r="AD17" s="33"/>
      <c r="AE17" s="18"/>
    </row>
    <row r="18" spans="2:31">
      <c r="B18" s="11">
        <v>3</v>
      </c>
      <c r="C18" s="40" t="s">
        <v>48</v>
      </c>
      <c r="D18" s="39"/>
      <c r="E18" s="38" t="s">
        <v>255</v>
      </c>
      <c r="F18" s="30" t="s">
        <v>256</v>
      </c>
      <c r="G18" s="11" t="s">
        <v>24</v>
      </c>
      <c r="H18" s="13"/>
      <c r="I18" s="13"/>
      <c r="P18" s="35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3"/>
      <c r="AD18" s="33"/>
      <c r="AE18" s="18"/>
    </row>
    <row r="19" spans="2:31">
      <c r="H19" s="13"/>
      <c r="I19" s="13"/>
      <c r="P19" s="35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3"/>
      <c r="AD19" s="33"/>
      <c r="AE19" s="18"/>
    </row>
    <row r="20" spans="2:31">
      <c r="B20" s="13"/>
      <c r="C20" s="16"/>
      <c r="D20" s="14"/>
      <c r="F20" s="28"/>
      <c r="G20" s="14"/>
      <c r="H20" s="13"/>
      <c r="I20" s="13"/>
      <c r="P20" s="35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3"/>
      <c r="AD20" s="33"/>
      <c r="AE20" s="18"/>
    </row>
    <row r="21" spans="2:31">
      <c r="B21" s="37" t="s">
        <v>23</v>
      </c>
      <c r="D21" s="13"/>
      <c r="F21" s="13"/>
      <c r="G21" s="36"/>
      <c r="H21" s="13"/>
      <c r="I21" s="15"/>
      <c r="P21" s="35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3"/>
      <c r="AD21" s="33"/>
      <c r="AE21" s="18"/>
    </row>
    <row r="22" spans="2:31">
      <c r="B22" s="25" t="s">
        <v>22</v>
      </c>
      <c r="C22" s="27" t="s">
        <v>21</v>
      </c>
      <c r="D22" s="27" t="s">
        <v>20</v>
      </c>
      <c r="E22" s="12" t="s">
        <v>5</v>
      </c>
      <c r="G22" s="19"/>
      <c r="H22" s="19"/>
      <c r="I22" s="19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2:31">
      <c r="B23" s="31" t="s">
        <v>19</v>
      </c>
      <c r="C23" s="32">
        <v>21</v>
      </c>
      <c r="D23" s="32">
        <v>21</v>
      </c>
      <c r="E23" s="10" t="s">
        <v>49</v>
      </c>
      <c r="G23" s="19"/>
      <c r="H23" s="19"/>
      <c r="I23" s="19"/>
    </row>
    <row r="24" spans="2:31">
      <c r="B24" s="31" t="s">
        <v>18</v>
      </c>
      <c r="C24" s="30">
        <v>52</v>
      </c>
      <c r="D24" s="30">
        <v>52</v>
      </c>
      <c r="E24" s="10" t="s">
        <v>50</v>
      </c>
      <c r="G24" s="19"/>
      <c r="H24" s="19"/>
      <c r="I24" s="19"/>
    </row>
    <row r="25" spans="2:31">
      <c r="B25" s="13"/>
      <c r="C25" s="14"/>
      <c r="D25" s="19"/>
      <c r="E25" s="19"/>
      <c r="F25" s="14"/>
      <c r="G25" s="14"/>
      <c r="H25" s="29"/>
      <c r="I25" s="29"/>
    </row>
    <row r="26" spans="2:31">
      <c r="B26" s="13"/>
      <c r="C26" s="14"/>
      <c r="D26" s="28"/>
      <c r="E26" s="14"/>
      <c r="F26" s="14"/>
      <c r="G26" s="14"/>
      <c r="H26" s="13"/>
      <c r="I26" s="13"/>
    </row>
    <row r="27" spans="2:31">
      <c r="B27" s="16" t="s">
        <v>17</v>
      </c>
      <c r="D27" s="28"/>
      <c r="E27" s="14"/>
      <c r="F27" s="14"/>
      <c r="G27" s="14"/>
      <c r="H27" s="13"/>
      <c r="I27" s="13"/>
    </row>
    <row r="28" spans="2:31">
      <c r="B28" s="27" t="s">
        <v>16</v>
      </c>
      <c r="C28" s="25" t="s">
        <v>15</v>
      </c>
      <c r="D28" s="26"/>
      <c r="E28" s="24"/>
      <c r="F28" s="25" t="s">
        <v>14</v>
      </c>
      <c r="G28" s="24"/>
      <c r="I28" s="19"/>
      <c r="J28" s="19"/>
      <c r="K28" s="9"/>
    </row>
    <row r="29" spans="2:31" ht="15" customHeight="1">
      <c r="B29" s="210" t="s">
        <v>13</v>
      </c>
      <c r="C29" s="213" t="s">
        <v>12</v>
      </c>
      <c r="D29" s="214"/>
      <c r="E29" s="215"/>
      <c r="F29" s="22">
        <v>1</v>
      </c>
      <c r="G29" s="185" t="s">
        <v>10</v>
      </c>
      <c r="I29" s="19"/>
      <c r="J29" s="19"/>
      <c r="K29" s="9"/>
    </row>
    <row r="30" spans="2:31">
      <c r="B30" s="211"/>
      <c r="C30" s="216"/>
      <c r="D30" s="217"/>
      <c r="E30" s="218"/>
      <c r="F30" s="23"/>
      <c r="G30" s="186"/>
      <c r="I30" s="19"/>
      <c r="J30" s="19"/>
      <c r="K30" s="9"/>
    </row>
    <row r="31" spans="2:31">
      <c r="B31" s="211"/>
      <c r="C31" s="216"/>
      <c r="D31" s="217"/>
      <c r="E31" s="218"/>
      <c r="F31" s="23"/>
      <c r="G31" s="185" t="s">
        <v>9</v>
      </c>
      <c r="I31" s="19"/>
      <c r="J31" s="19"/>
      <c r="K31" s="9"/>
    </row>
    <row r="32" spans="2:31">
      <c r="B32" s="212"/>
      <c r="C32" s="219"/>
      <c r="D32" s="220"/>
      <c r="E32" s="221"/>
      <c r="F32" s="21"/>
      <c r="G32" s="186"/>
      <c r="I32" s="19"/>
      <c r="J32" s="19"/>
      <c r="K32" s="9"/>
    </row>
    <row r="33" spans="2:11" ht="15" customHeight="1">
      <c r="B33" s="182" t="s">
        <v>52</v>
      </c>
      <c r="C33" s="189" t="s">
        <v>51</v>
      </c>
      <c r="D33" s="190"/>
      <c r="E33" s="191"/>
      <c r="F33" s="22">
        <v>1</v>
      </c>
      <c r="G33" s="185" t="s">
        <v>10</v>
      </c>
      <c r="I33" s="19"/>
      <c r="J33" s="19"/>
      <c r="K33" s="9"/>
    </row>
    <row r="34" spans="2:11">
      <c r="B34" s="183"/>
      <c r="C34" s="192"/>
      <c r="D34" s="193"/>
      <c r="E34" s="194"/>
      <c r="F34" s="23"/>
      <c r="G34" s="186"/>
      <c r="I34" s="19"/>
      <c r="J34" s="19"/>
      <c r="K34" s="9"/>
    </row>
    <row r="35" spans="2:11">
      <c r="B35" s="183"/>
      <c r="C35" s="192"/>
      <c r="D35" s="193"/>
      <c r="E35" s="194"/>
      <c r="F35" s="23"/>
      <c r="G35" s="185" t="s">
        <v>9</v>
      </c>
      <c r="I35" s="19"/>
      <c r="J35" s="19"/>
      <c r="K35" s="9"/>
    </row>
    <row r="36" spans="2:11">
      <c r="B36" s="184"/>
      <c r="C36" s="195"/>
      <c r="D36" s="196"/>
      <c r="E36" s="197"/>
      <c r="F36" s="21"/>
      <c r="G36" s="186"/>
      <c r="I36" s="19"/>
      <c r="J36" s="19"/>
      <c r="K36" s="9"/>
    </row>
    <row r="37" spans="2:11" ht="23.25" customHeight="1">
      <c r="B37" s="182" t="s">
        <v>53</v>
      </c>
      <c r="C37" s="200" t="s">
        <v>11</v>
      </c>
      <c r="D37" s="201"/>
      <c r="E37" s="202"/>
      <c r="F37" s="22">
        <v>1</v>
      </c>
      <c r="G37" s="20" t="s">
        <v>10</v>
      </c>
      <c r="I37" s="19"/>
      <c r="J37" s="19"/>
      <c r="K37" s="9"/>
    </row>
    <row r="38" spans="2:11" ht="26.25" customHeight="1">
      <c r="B38" s="184"/>
      <c r="C38" s="203"/>
      <c r="D38" s="204"/>
      <c r="E38" s="205"/>
      <c r="F38" s="21"/>
      <c r="G38" s="20" t="s">
        <v>9</v>
      </c>
      <c r="I38" s="19"/>
      <c r="J38" s="19"/>
      <c r="K38" s="9"/>
    </row>
    <row r="39" spans="2:11" ht="26.25" customHeight="1">
      <c r="B39" s="56"/>
      <c r="C39" s="57"/>
      <c r="D39" s="57"/>
      <c r="E39" s="57"/>
      <c r="F39" s="177"/>
      <c r="G39" s="58"/>
      <c r="I39" s="19"/>
      <c r="J39" s="19"/>
      <c r="K39" s="9"/>
    </row>
    <row r="40" spans="2:11">
      <c r="B40" s="7" t="s">
        <v>136</v>
      </c>
    </row>
    <row r="41" spans="2:11">
      <c r="B41" s="7" t="s">
        <v>47</v>
      </c>
    </row>
    <row r="42" spans="2:11" ht="15.75" customHeight="1">
      <c r="B42" s="222" t="s">
        <v>89</v>
      </c>
      <c r="C42" s="223" t="s">
        <v>55</v>
      </c>
      <c r="D42" s="223"/>
      <c r="E42" s="223"/>
      <c r="F42" s="223"/>
      <c r="G42" s="223"/>
      <c r="H42" s="223" t="s">
        <v>5</v>
      </c>
    </row>
    <row r="43" spans="2:11">
      <c r="B43" s="222"/>
      <c r="C43" s="8" t="s">
        <v>4</v>
      </c>
      <c r="D43" s="8" t="s">
        <v>3</v>
      </c>
      <c r="E43" s="8" t="s">
        <v>2</v>
      </c>
      <c r="F43" s="8" t="s">
        <v>7</v>
      </c>
      <c r="G43" s="8" t="s">
        <v>6</v>
      </c>
      <c r="H43" s="223"/>
    </row>
    <row r="44" spans="2:11">
      <c r="B44" s="8">
        <v>35</v>
      </c>
      <c r="C44" s="169">
        <v>35.1</v>
      </c>
      <c r="D44" s="169">
        <v>35.1</v>
      </c>
      <c r="E44" s="169">
        <v>35.1</v>
      </c>
      <c r="F44" s="169">
        <v>35.200000000000003</v>
      </c>
      <c r="G44" s="169">
        <v>35.200000000000003</v>
      </c>
      <c r="H44" s="8" t="s">
        <v>56</v>
      </c>
    </row>
    <row r="45" spans="2:11">
      <c r="B45" s="8">
        <v>37</v>
      </c>
      <c r="C45" s="169">
        <v>36.9</v>
      </c>
      <c r="D45" s="169">
        <v>36.9</v>
      </c>
      <c r="E45" s="169">
        <v>37.200000000000003</v>
      </c>
      <c r="F45" s="169">
        <v>37.1</v>
      </c>
      <c r="G45" s="169">
        <v>37.200000000000003</v>
      </c>
      <c r="H45" s="8" t="s">
        <v>57</v>
      </c>
    </row>
    <row r="46" spans="2:11">
      <c r="B46" s="8">
        <v>41</v>
      </c>
      <c r="C46" s="170">
        <v>40.9</v>
      </c>
      <c r="D46" s="170">
        <v>41.1</v>
      </c>
      <c r="E46" s="170">
        <v>41.2</v>
      </c>
      <c r="F46" s="170">
        <v>41.2</v>
      </c>
      <c r="G46" s="170">
        <v>41.2</v>
      </c>
      <c r="H46" s="8" t="s">
        <v>58</v>
      </c>
    </row>
    <row r="47" spans="2:11">
      <c r="B47" s="7"/>
    </row>
    <row r="48" spans="2:11">
      <c r="B48" s="7" t="s">
        <v>60</v>
      </c>
    </row>
    <row r="49" spans="2:19" ht="15.75" customHeight="1">
      <c r="B49" s="222" t="s">
        <v>89</v>
      </c>
      <c r="C49" s="223" t="s">
        <v>59</v>
      </c>
      <c r="D49" s="223"/>
      <c r="E49" s="223"/>
      <c r="F49" s="223"/>
      <c r="G49" s="223"/>
      <c r="H49" s="223" t="s">
        <v>5</v>
      </c>
    </row>
    <row r="50" spans="2:19">
      <c r="B50" s="222"/>
      <c r="C50" s="8" t="s">
        <v>4</v>
      </c>
      <c r="D50" s="8" t="s">
        <v>3</v>
      </c>
      <c r="E50" s="8" t="s">
        <v>2</v>
      </c>
      <c r="F50" s="8" t="s">
        <v>7</v>
      </c>
      <c r="G50" s="8" t="s">
        <v>6</v>
      </c>
      <c r="H50" s="223"/>
    </row>
    <row r="51" spans="2:19">
      <c r="B51" s="8">
        <v>35</v>
      </c>
      <c r="C51" s="172">
        <v>35.1</v>
      </c>
      <c r="D51" s="172">
        <v>35</v>
      </c>
      <c r="E51" s="172">
        <v>35.1</v>
      </c>
      <c r="F51" s="172">
        <v>35.1</v>
      </c>
      <c r="G51" s="172">
        <v>35.200000000000003</v>
      </c>
      <c r="H51" s="8" t="s">
        <v>58</v>
      </c>
    </row>
    <row r="52" spans="2:19">
      <c r="B52" s="8">
        <v>37</v>
      </c>
      <c r="C52" s="172">
        <v>37.200000000000003</v>
      </c>
      <c r="D52" s="172">
        <v>37.1</v>
      </c>
      <c r="E52" s="172">
        <v>37.200000000000003</v>
      </c>
      <c r="F52" s="172">
        <v>37.130000000000003</v>
      </c>
      <c r="G52" s="172">
        <v>37.200000000000003</v>
      </c>
      <c r="H52" s="8" t="s">
        <v>57</v>
      </c>
    </row>
    <row r="53" spans="2:19">
      <c r="B53" s="8">
        <v>41</v>
      </c>
      <c r="C53" s="173">
        <v>41.2</v>
      </c>
      <c r="D53" s="173">
        <v>41.1</v>
      </c>
      <c r="E53" s="173">
        <v>41.3</v>
      </c>
      <c r="F53" s="173">
        <v>41.3</v>
      </c>
      <c r="G53" s="173">
        <v>41.3</v>
      </c>
      <c r="H53" s="8" t="s">
        <v>58</v>
      </c>
    </row>
    <row r="54" spans="2:19">
      <c r="B54" s="7"/>
    </row>
    <row r="55" spans="2:19">
      <c r="B55" s="7"/>
    </row>
    <row r="56" spans="2:19">
      <c r="B56" s="7"/>
      <c r="C56" s="7"/>
    </row>
    <row r="57" spans="2:19">
      <c r="B57" s="3" t="s">
        <v>1</v>
      </c>
      <c r="C57" s="3"/>
      <c r="S57" s="5"/>
    </row>
    <row r="58" spans="2:19" hidden="1">
      <c r="B58" s="6"/>
      <c r="C58" s="3" t="s">
        <v>0</v>
      </c>
      <c r="S58" s="5"/>
    </row>
    <row r="59" spans="2:19">
      <c r="B59" s="4"/>
      <c r="C59" s="3" t="s">
        <v>0</v>
      </c>
    </row>
    <row r="64" spans="2:19">
      <c r="L64" s="2"/>
    </row>
  </sheetData>
  <mergeCells count="28">
    <mergeCell ref="B42:B43"/>
    <mergeCell ref="C42:G42"/>
    <mergeCell ref="H42:H43"/>
    <mergeCell ref="B49:B50"/>
    <mergeCell ref="C49:G49"/>
    <mergeCell ref="H49:H50"/>
    <mergeCell ref="C37:E38"/>
    <mergeCell ref="C15:D15"/>
    <mergeCell ref="C16:D16"/>
    <mergeCell ref="B29:B32"/>
    <mergeCell ref="C29:E32"/>
    <mergeCell ref="B37:B38"/>
    <mergeCell ref="C17:D17"/>
    <mergeCell ref="C2:H2"/>
    <mergeCell ref="B33:B36"/>
    <mergeCell ref="G31:G32"/>
    <mergeCell ref="G33:G34"/>
    <mergeCell ref="G35:G36"/>
    <mergeCell ref="G10:H10"/>
    <mergeCell ref="G29:G30"/>
    <mergeCell ref="C33:E36"/>
    <mergeCell ref="G5:H5"/>
    <mergeCell ref="G6:H6"/>
    <mergeCell ref="G7:H7"/>
    <mergeCell ref="C7:D7"/>
    <mergeCell ref="C8:D8"/>
    <mergeCell ref="C9:D9"/>
    <mergeCell ref="C10:D10"/>
  </mergeCells>
  <conditionalFormatting sqref="C5:D12">
    <cfRule type="containsBlanks" dxfId="3" priority="7">
      <formula>LEN(TRIM(C5))=0</formula>
    </cfRule>
    <cfRule type="containsBlanks" priority="8">
      <formula>LEN(TRIM(C5))=0</formula>
    </cfRule>
  </conditionalFormatting>
  <conditionalFormatting sqref="E16:G18">
    <cfRule type="containsBlanks" dxfId="2" priority="6">
      <formula>LEN(TRIM(E16))=0</formula>
    </cfRule>
  </conditionalFormatting>
  <conditionalFormatting sqref="G5:H10">
    <cfRule type="containsBlanks" dxfId="1" priority="5">
      <formula>LEN(TRIM(G5))=0</formula>
    </cfRule>
  </conditionalFormatting>
  <conditionalFormatting sqref="C23:D24">
    <cfRule type="containsBlanks" dxfId="0" priority="4">
      <formula>LEN(TRIM(C23))=0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30C3-010C-42C1-95CB-0A9CE53A5CF2}">
  <dimension ref="A1:W54"/>
  <sheetViews>
    <sheetView topLeftCell="A25" workbookViewId="0">
      <selection activeCell="B36" sqref="B36:B37"/>
    </sheetView>
  </sheetViews>
  <sheetFormatPr defaultRowHeight="15"/>
  <cols>
    <col min="2" max="2" width="15.140625" customWidth="1"/>
    <col min="4" max="4" width="17" customWidth="1"/>
    <col min="5" max="6" width="16.140625" customWidth="1"/>
    <col min="7" max="7" width="11.42578125" customWidth="1"/>
    <col min="8" max="8" width="12" customWidth="1"/>
    <col min="9" max="9" width="18.7109375" customWidth="1"/>
    <col min="12" max="12" width="15.85546875" customWidth="1"/>
    <col min="13" max="13" width="11.42578125" customWidth="1"/>
    <col min="19" max="19" width="16.42578125" customWidth="1"/>
    <col min="20" max="20" width="10.7109375" bestFit="1" customWidth="1"/>
    <col min="21" max="21" width="9.5703125" bestFit="1" customWidth="1"/>
    <col min="22" max="22" width="14.140625" customWidth="1"/>
  </cols>
  <sheetData>
    <row r="1" spans="1:23">
      <c r="A1" s="1"/>
      <c r="B1" s="13"/>
      <c r="C1" s="15"/>
      <c r="D1" s="15"/>
      <c r="E1" s="15"/>
      <c r="F1" s="15"/>
      <c r="G1" s="15"/>
      <c r="H1" s="15"/>
      <c r="I1" s="13"/>
    </row>
    <row r="2" spans="1:23">
      <c r="A2" s="1"/>
      <c r="B2" s="13"/>
      <c r="C2" s="83" t="str">
        <f>'Input Data'!C2:H2</f>
        <v>LEMBAR KERJA KALIBRASI THERMOMETER EAR/THERMOMETER INFRA RED</v>
      </c>
      <c r="D2" s="83"/>
      <c r="E2" s="83"/>
      <c r="F2" s="83"/>
      <c r="G2" s="83"/>
      <c r="H2" s="83"/>
      <c r="I2" s="55"/>
    </row>
    <row r="3" spans="1:23">
      <c r="A3" s="1"/>
      <c r="B3" s="13"/>
      <c r="C3" s="54"/>
      <c r="D3" s="54"/>
      <c r="E3" s="54"/>
      <c r="F3" s="54"/>
      <c r="G3" s="14"/>
      <c r="H3" s="54"/>
      <c r="I3" s="54"/>
    </row>
    <row r="4" spans="1:23">
      <c r="A4" s="1"/>
      <c r="B4" s="37" t="s">
        <v>43</v>
      </c>
      <c r="C4" s="1"/>
      <c r="D4" s="53"/>
      <c r="E4" s="53"/>
      <c r="F4" s="53"/>
      <c r="G4" s="53"/>
      <c r="H4" s="53"/>
      <c r="I4" s="53"/>
    </row>
    <row r="5" spans="1:23">
      <c r="A5" s="1"/>
      <c r="B5" s="15" t="s">
        <v>42</v>
      </c>
      <c r="C5" s="224" t="str">
        <f>'Input Data'!C5</f>
        <v>S.248</v>
      </c>
      <c r="D5" s="225"/>
      <c r="E5" s="15" t="s">
        <v>41</v>
      </c>
      <c r="F5" s="13"/>
      <c r="G5" s="224">
        <f>'Input Data'!G5:H5</f>
        <v>0</v>
      </c>
      <c r="H5" s="225"/>
      <c r="I5" s="1"/>
    </row>
    <row r="6" spans="1:23">
      <c r="A6" s="1"/>
      <c r="B6" s="15" t="s">
        <v>40</v>
      </c>
      <c r="C6" s="224" t="str">
        <f>'Input Data'!C6</f>
        <v>Themometer Infrared</v>
      </c>
      <c r="D6" s="225"/>
      <c r="E6" s="15" t="s">
        <v>39</v>
      </c>
      <c r="F6" s="13"/>
      <c r="G6" s="224" t="str">
        <f>'Input Data'!G6:H6</f>
        <v>Klinik Asta Nugraha</v>
      </c>
      <c r="H6" s="225"/>
      <c r="I6" s="1"/>
    </row>
    <row r="7" spans="1:23">
      <c r="A7" s="1"/>
      <c r="B7" s="15" t="s">
        <v>38</v>
      </c>
      <c r="C7" s="224" t="str">
        <f>'Input Data'!C7</f>
        <v>KARKNEE</v>
      </c>
      <c r="D7" s="225"/>
      <c r="E7" s="15" t="s">
        <v>37</v>
      </c>
      <c r="F7" s="15"/>
      <c r="G7" s="224" t="str">
        <f>'Input Data'!G7:H7</f>
        <v>Lab Presisi</v>
      </c>
      <c r="H7" s="225"/>
      <c r="I7" s="1"/>
    </row>
    <row r="8" spans="1:23">
      <c r="A8" s="1"/>
      <c r="B8" s="15" t="s">
        <v>36</v>
      </c>
      <c r="C8" s="224" t="str">
        <f>'Input Data'!C8</f>
        <v>DT-8806C</v>
      </c>
      <c r="D8" s="225"/>
      <c r="E8" s="13" t="s">
        <v>35</v>
      </c>
      <c r="F8" s="13"/>
      <c r="G8" s="228">
        <f>'Input Data'!G8:H8</f>
        <v>45880</v>
      </c>
      <c r="H8" s="229"/>
      <c r="I8" s="1"/>
    </row>
    <row r="9" spans="1:23">
      <c r="A9" s="1"/>
      <c r="B9" s="15" t="s">
        <v>34</v>
      </c>
      <c r="C9" s="224" t="str">
        <f>'Input Data'!C9</f>
        <v>0595-5000</v>
      </c>
      <c r="D9" s="225"/>
      <c r="E9" s="15" t="s">
        <v>33</v>
      </c>
      <c r="F9" s="15"/>
      <c r="G9" s="228">
        <f>'Input Data'!G9:H9</f>
        <v>45884</v>
      </c>
      <c r="H9" s="229"/>
      <c r="I9" s="1"/>
    </row>
    <row r="10" spans="1:23">
      <c r="A10" s="1"/>
      <c r="B10" s="15" t="s">
        <v>32</v>
      </c>
      <c r="C10" s="224">
        <f>'Input Data'!C10</f>
        <v>0</v>
      </c>
      <c r="D10" s="225"/>
      <c r="E10" s="15" t="s">
        <v>31</v>
      </c>
      <c r="F10" s="15"/>
      <c r="G10" s="224" t="str">
        <f>'Input Data'!G10:H10</f>
        <v>Eliza Novianti</v>
      </c>
      <c r="H10" s="225"/>
      <c r="I10" s="1"/>
    </row>
    <row r="11" spans="1:23">
      <c r="A11" s="1"/>
      <c r="B11" s="15" t="s">
        <v>30</v>
      </c>
      <c r="C11" s="81">
        <f>'Input Data'!C11</f>
        <v>0.1</v>
      </c>
      <c r="D11" s="82" t="s">
        <v>45</v>
      </c>
      <c r="E11" s="13"/>
      <c r="F11" s="13"/>
      <c r="G11" s="13"/>
      <c r="H11" s="13"/>
      <c r="I11" s="1"/>
    </row>
    <row r="12" spans="1:23">
      <c r="A12" s="1"/>
      <c r="B12" s="15"/>
      <c r="C12" s="81"/>
      <c r="D12" s="80"/>
      <c r="E12" s="13"/>
      <c r="F12" s="13"/>
      <c r="G12" s="13"/>
      <c r="H12" s="13"/>
      <c r="I12" s="1"/>
    </row>
    <row r="13" spans="1:23">
      <c r="A13" s="1"/>
      <c r="B13" s="13"/>
      <c r="C13" s="15"/>
      <c r="D13" s="47"/>
      <c r="E13" s="13"/>
      <c r="F13" s="15"/>
      <c r="G13" s="15"/>
      <c r="H13" s="46"/>
      <c r="I13" s="13"/>
    </row>
    <row r="14" spans="1:23">
      <c r="A14" s="1"/>
      <c r="B14" s="16" t="s">
        <v>29</v>
      </c>
      <c r="C14" s="1"/>
      <c r="D14" s="14"/>
      <c r="E14" s="45"/>
      <c r="F14" s="28"/>
      <c r="G14" s="14"/>
      <c r="H14" s="13"/>
      <c r="I14" s="13"/>
      <c r="J14" s="79">
        <v>1</v>
      </c>
      <c r="K14" s="79">
        <v>2</v>
      </c>
      <c r="L14" s="79">
        <v>3</v>
      </c>
      <c r="M14" s="79">
        <v>4</v>
      </c>
      <c r="N14" s="79">
        <v>5</v>
      </c>
      <c r="O14" s="79">
        <v>6</v>
      </c>
      <c r="P14" s="79">
        <v>7</v>
      </c>
      <c r="Q14" s="79">
        <v>8</v>
      </c>
      <c r="R14" s="79">
        <v>9</v>
      </c>
      <c r="S14" s="79">
        <v>10</v>
      </c>
      <c r="T14" s="79">
        <v>11</v>
      </c>
      <c r="U14" s="79">
        <v>12</v>
      </c>
      <c r="V14" s="79">
        <v>13</v>
      </c>
      <c r="W14" s="79">
        <v>14</v>
      </c>
    </row>
    <row r="15" spans="1:23">
      <c r="A15" s="1"/>
      <c r="B15" s="27" t="s">
        <v>8</v>
      </c>
      <c r="C15" s="206" t="s">
        <v>28</v>
      </c>
      <c r="D15" s="207"/>
      <c r="E15" s="44" t="s">
        <v>27</v>
      </c>
      <c r="F15" s="27" t="s">
        <v>26</v>
      </c>
      <c r="G15" s="12" t="s">
        <v>25</v>
      </c>
      <c r="H15" s="13"/>
      <c r="I15" s="13"/>
      <c r="J15" s="227" t="s">
        <v>25</v>
      </c>
      <c r="K15" s="227" t="s">
        <v>8</v>
      </c>
      <c r="L15" s="227" t="s">
        <v>88</v>
      </c>
      <c r="M15" s="227" t="s">
        <v>27</v>
      </c>
      <c r="N15" s="227" t="s">
        <v>74</v>
      </c>
      <c r="O15" s="227" t="s">
        <v>87</v>
      </c>
      <c r="P15" s="227"/>
      <c r="Q15" s="227" t="s">
        <v>86</v>
      </c>
      <c r="R15" s="227"/>
      <c r="S15" s="256" t="s">
        <v>82</v>
      </c>
      <c r="T15" s="256" t="s">
        <v>83</v>
      </c>
      <c r="U15" s="227" t="s">
        <v>85</v>
      </c>
      <c r="V15" s="226" t="s">
        <v>68</v>
      </c>
      <c r="W15" s="226"/>
    </row>
    <row r="16" spans="1:23">
      <c r="A16" s="1"/>
      <c r="B16" s="42">
        <v>1</v>
      </c>
      <c r="C16" s="208" t="str">
        <f>'Input Data'!C16:D16</f>
        <v>Black Body Liquid Calibration Source</v>
      </c>
      <c r="D16" s="209"/>
      <c r="E16" s="77" t="str">
        <f>'Input Data'!E16</f>
        <v>-</v>
      </c>
      <c r="F16" s="77" t="str">
        <f>'Input Data'!F16</f>
        <v>-</v>
      </c>
      <c r="G16" s="77" t="str">
        <f>'Input Data'!G16</f>
        <v>-</v>
      </c>
      <c r="H16" s="13"/>
      <c r="I16" s="13"/>
      <c r="J16" s="227"/>
      <c r="K16" s="227"/>
      <c r="L16" s="227"/>
      <c r="M16" s="227"/>
      <c r="N16" s="227"/>
      <c r="O16" s="78" t="s">
        <v>72</v>
      </c>
      <c r="P16" s="78" t="s">
        <v>84</v>
      </c>
      <c r="Q16" s="78" t="s">
        <v>72</v>
      </c>
      <c r="R16" s="78" t="s">
        <v>84</v>
      </c>
      <c r="S16" s="257"/>
      <c r="T16" s="257"/>
      <c r="U16" s="227"/>
      <c r="V16" s="78" t="s">
        <v>82</v>
      </c>
      <c r="W16" s="78" t="s">
        <v>81</v>
      </c>
    </row>
    <row r="17" spans="1:23">
      <c r="A17" s="1"/>
      <c r="B17" s="42">
        <v>2</v>
      </c>
      <c r="C17" s="208" t="str">
        <f>'Input Data'!C17:D17</f>
        <v>Thermometer Refrence</v>
      </c>
      <c r="D17" s="209"/>
      <c r="E17" s="77" t="str">
        <f>'Input Data'!E17</f>
        <v>-</v>
      </c>
      <c r="F17" s="77" t="str">
        <f>'Input Data'!F17</f>
        <v>-</v>
      </c>
      <c r="G17" s="77" t="str">
        <f>'Input Data'!G17</f>
        <v>-</v>
      </c>
      <c r="H17" s="13"/>
      <c r="I17" s="13"/>
      <c r="J17" s="62" t="str">
        <f>[1]ARRAY!D6</f>
        <v>TH-01</v>
      </c>
      <c r="K17" s="62">
        <f>[1]ARRAY!E6</f>
        <v>1</v>
      </c>
      <c r="L17" s="62" t="str">
        <f>[1]ARRAY!F6</f>
        <v>Digital thermohygrometer</v>
      </c>
      <c r="M17" s="62" t="str">
        <f>[1]ARRAY!G6</f>
        <v>Taffware</v>
      </c>
      <c r="N17" s="62" t="str">
        <f>[1]ARRAY!H6</f>
        <v>HTC-1</v>
      </c>
      <c r="O17" s="62">
        <f>[1]ARRAY!I6</f>
        <v>-0.3531747919143875</v>
      </c>
      <c r="P17" s="62">
        <f>[1]ARRAY!J6</f>
        <v>1.0389536266349582</v>
      </c>
      <c r="Q17" s="62">
        <f>[1]ARRAY!K6</f>
        <v>-19.598181818181821</v>
      </c>
      <c r="R17" s="62">
        <f>[1]ARRAY!L6</f>
        <v>1.3814545454545455</v>
      </c>
      <c r="S17" s="62">
        <f>[2]ARRAY!$M$6</f>
        <v>0.5</v>
      </c>
      <c r="T17" s="62">
        <f>[1]ARRAY!N6</f>
        <v>2.7</v>
      </c>
      <c r="U17" s="76">
        <f>[1]ARRAY!O6</f>
        <v>45799</v>
      </c>
      <c r="V17" s="63">
        <f>O17+P17*$F$23</f>
        <v>21.464851367419733</v>
      </c>
      <c r="W17" s="63">
        <f>Q17+R17*$F$24</f>
        <v>52.237454545454547</v>
      </c>
    </row>
    <row r="18" spans="1:23">
      <c r="A18" s="1"/>
      <c r="B18" s="11">
        <v>3</v>
      </c>
      <c r="C18" s="208" t="str">
        <f>'Input Data'!C18:D18</f>
        <v>Digital thermohygrometer</v>
      </c>
      <c r="D18" s="209"/>
      <c r="E18" s="77" t="str">
        <f>'Input Data'!E18</f>
        <v>Taffware</v>
      </c>
      <c r="F18" s="77" t="str">
        <f>'Input Data'!F18</f>
        <v>HTC-1</v>
      </c>
      <c r="G18" s="77" t="str">
        <f>'Input Data'!G18</f>
        <v>TH-01</v>
      </c>
      <c r="H18" s="13"/>
      <c r="I18" s="13"/>
      <c r="J18" s="62" t="str">
        <f>[1]ARRAY!D7</f>
        <v>TH-02</v>
      </c>
      <c r="K18" s="62">
        <f>[1]ARRAY!E7</f>
        <v>2</v>
      </c>
      <c r="L18" s="62" t="str">
        <f>[1]ARRAY!F7</f>
        <v>Digital thermohygrometer</v>
      </c>
      <c r="M18" s="62" t="str">
        <f>[1]ARRAY!G7</f>
        <v>Taffware</v>
      </c>
      <c r="N18" s="62" t="str">
        <f>[1]ARRAY!H7</f>
        <v>HTC-1</v>
      </c>
      <c r="O18" s="62">
        <f>[1]ARRAY!I7</f>
        <v>-3.6218787158141197E-2</v>
      </c>
      <c r="P18" s="62">
        <f>[1]ARRAY!J7</f>
        <v>1.0230439952437573</v>
      </c>
      <c r="Q18" s="62">
        <f>[1]ARRAY!K7</f>
        <v>-20.981818181818163</v>
      </c>
      <c r="R18" s="62">
        <f>[1]ARRAY!L7</f>
        <v>1.3290909090909087</v>
      </c>
      <c r="S18" s="62">
        <f>[2]ARRAY!$M$6</f>
        <v>0.5</v>
      </c>
      <c r="T18" s="62">
        <f>[1]ARRAY!N7</f>
        <v>3.1</v>
      </c>
      <c r="U18" s="76">
        <f>[1]ARRAY!O7</f>
        <v>45799</v>
      </c>
      <c r="V18" s="63">
        <f>O18+P18*$F$23</f>
        <v>21.447705112960762</v>
      </c>
      <c r="W18" s="63">
        <f>Q18+R18*$F$24</f>
        <v>48.130909090909093</v>
      </c>
    </row>
    <row r="19" spans="1:23">
      <c r="A19" s="1"/>
      <c r="B19" s="85"/>
      <c r="C19" s="86"/>
      <c r="D19" s="86"/>
      <c r="E19" s="86"/>
      <c r="F19" s="86"/>
      <c r="G19" s="86"/>
      <c r="H19" s="13"/>
      <c r="I19" s="13"/>
      <c r="J19" s="62" t="str">
        <f>[1]ARRAY!D8</f>
        <v>TH-03</v>
      </c>
      <c r="K19" s="62">
        <f>[1]ARRAY!E8</f>
        <v>3</v>
      </c>
      <c r="L19" s="62" t="str">
        <f>[1]ARRAY!F8</f>
        <v>Digital thermohygrometer</v>
      </c>
      <c r="M19" s="62" t="str">
        <f>[1]ARRAY!G8</f>
        <v>Taffware</v>
      </c>
      <c r="N19" s="62" t="str">
        <f>[1]ARRAY!H8</f>
        <v>HTC-1</v>
      </c>
      <c r="O19" s="62">
        <f>[1]ARRAY!I8</f>
        <v>-0.40318668252080059</v>
      </c>
      <c r="P19" s="62">
        <f>[1]ARRAY!J8</f>
        <v>1.0430321046373363</v>
      </c>
      <c r="Q19" s="62">
        <f>[1]ARRAY!K8</f>
        <v>-19.666363636363634</v>
      </c>
      <c r="R19" s="62">
        <f>[1]ARRAY!L8</f>
        <v>1.3078181818181818</v>
      </c>
      <c r="S19" s="62">
        <f>[2]ARRAY!$M$6</f>
        <v>0.5</v>
      </c>
      <c r="T19" s="62">
        <f>[1]ARRAY!N8</f>
        <v>2.7</v>
      </c>
      <c r="U19" s="76">
        <f>[1]ARRAY!O8</f>
        <v>45799</v>
      </c>
      <c r="V19" s="63">
        <f>O19+P19*$F$23</f>
        <v>21.500487514863263</v>
      </c>
      <c r="W19" s="63">
        <f>Q19+R19*$F$24</f>
        <v>48.340181818181811</v>
      </c>
    </row>
    <row r="20" spans="1:23">
      <c r="A20" s="1"/>
      <c r="B20" s="1"/>
      <c r="C20" s="1"/>
      <c r="D20" s="1"/>
      <c r="E20" s="1"/>
      <c r="F20" s="1"/>
      <c r="G20" s="1"/>
      <c r="H20" s="13"/>
      <c r="I20" s="13"/>
      <c r="J20" s="62" t="str">
        <f>[1]ARRAY!D9</f>
        <v>TH-04</v>
      </c>
      <c r="K20" s="62">
        <f>[1]ARRAY!E9</f>
        <v>4</v>
      </c>
      <c r="L20" s="62" t="str">
        <f>[1]ARRAY!F9</f>
        <v>Digital thermohygrometer</v>
      </c>
      <c r="M20" s="62" t="str">
        <f>[1]ARRAY!G9</f>
        <v>Taffware</v>
      </c>
      <c r="N20" s="62" t="str">
        <f>[1]ARRAY!H9</f>
        <v>HTC-1</v>
      </c>
      <c r="O20" s="62">
        <f>[1]ARRAY!I9</f>
        <v>0.19985731272295126</v>
      </c>
      <c r="P20" s="62">
        <f>[1]ARRAY!J9</f>
        <v>0.99894173602853731</v>
      </c>
      <c r="Q20" s="62">
        <f>[1]ARRAY!K9</f>
        <v>-20.049999999999997</v>
      </c>
      <c r="R20" s="62">
        <f>[1]ARRAY!L9</f>
        <v>1.3190909090909091</v>
      </c>
      <c r="S20" s="62">
        <f>[2]ARRAY!$M$6</f>
        <v>0.5</v>
      </c>
      <c r="T20" s="62">
        <f>[1]ARRAY!N9</f>
        <v>2.9</v>
      </c>
      <c r="U20" s="76">
        <f>[1]ARRAY!O9</f>
        <v>45799</v>
      </c>
      <c r="V20" s="63">
        <f>O20+P20*$F$23</f>
        <v>21.177633769322235</v>
      </c>
      <c r="W20" s="63">
        <f>Q20+R20*$F$24</f>
        <v>48.542727272727276</v>
      </c>
    </row>
    <row r="21" spans="1:23">
      <c r="A21" s="1"/>
      <c r="B21" s="37" t="s">
        <v>23</v>
      </c>
      <c r="C21" s="1"/>
      <c r="D21" s="13"/>
      <c r="E21" s="1"/>
      <c r="F21" s="13"/>
      <c r="G21" s="36"/>
      <c r="H21" s="13"/>
      <c r="I21" s="15"/>
    </row>
    <row r="22" spans="1:23">
      <c r="A22" s="1"/>
      <c r="B22" s="25" t="s">
        <v>22</v>
      </c>
      <c r="C22" s="27" t="s">
        <v>21</v>
      </c>
      <c r="D22" s="27" t="s">
        <v>20</v>
      </c>
      <c r="E22" s="12" t="s">
        <v>5</v>
      </c>
      <c r="F22" s="71" t="s">
        <v>80</v>
      </c>
      <c r="G22" s="75" t="s">
        <v>68</v>
      </c>
      <c r="H22" s="75"/>
      <c r="I22" s="75" t="s">
        <v>79</v>
      </c>
    </row>
    <row r="23" spans="1:23">
      <c r="A23" s="1"/>
      <c r="B23" s="31" t="s">
        <v>19</v>
      </c>
      <c r="C23" s="72">
        <f>'Input Data'!C23</f>
        <v>21</v>
      </c>
      <c r="D23" s="72">
        <f>'Input Data'!D23</f>
        <v>21</v>
      </c>
      <c r="E23" s="10" t="s">
        <v>78</v>
      </c>
      <c r="F23" s="74">
        <f>AVERAGE(C23:D23)</f>
        <v>21</v>
      </c>
      <c r="G23" s="230">
        <f>VLOOKUP(G18,J17:W20,13,FALSE)</f>
        <v>21.464851367419733</v>
      </c>
      <c r="H23" s="231"/>
      <c r="I23" s="73">
        <f>VLOOKUP(G18,J17:W20,10,FALSE)</f>
        <v>0.5</v>
      </c>
    </row>
    <row r="24" spans="1:23">
      <c r="A24" s="1"/>
      <c r="B24" s="31" t="s">
        <v>18</v>
      </c>
      <c r="C24" s="72">
        <f>'Input Data'!C24</f>
        <v>52</v>
      </c>
      <c r="D24" s="72">
        <f>'Input Data'!D24</f>
        <v>52</v>
      </c>
      <c r="E24" s="10" t="s">
        <v>77</v>
      </c>
      <c r="F24" s="74">
        <f>AVERAGE(C24:D24)</f>
        <v>52</v>
      </c>
      <c r="G24" s="230">
        <f>VLOOKUP(G18,J17:W20,14,FALSE)</f>
        <v>52.237454545454547</v>
      </c>
      <c r="H24" s="231"/>
      <c r="I24" s="88">
        <f>VLOOKUP(G18,J17:W20,11,FALSE)</f>
        <v>2.7</v>
      </c>
    </row>
    <row r="25" spans="1:23">
      <c r="A25" s="1"/>
      <c r="B25" s="13"/>
      <c r="C25" s="14"/>
      <c r="D25" s="28"/>
      <c r="E25" s="14"/>
      <c r="F25" s="14"/>
      <c r="G25" s="14"/>
      <c r="H25" s="13"/>
      <c r="I25" s="13"/>
    </row>
    <row r="26" spans="1:23">
      <c r="A26" s="1"/>
      <c r="B26" s="16" t="s">
        <v>17</v>
      </c>
      <c r="C26" s="1"/>
      <c r="D26" s="28"/>
      <c r="E26" s="14"/>
      <c r="F26" s="14"/>
      <c r="G26" s="14"/>
      <c r="H26" s="13"/>
      <c r="I26" s="13"/>
    </row>
    <row r="27" spans="1:23">
      <c r="A27" s="1"/>
      <c r="B27" s="27" t="s">
        <v>16</v>
      </c>
      <c r="C27" s="239" t="s">
        <v>15</v>
      </c>
      <c r="D27" s="240"/>
      <c r="E27" s="241"/>
      <c r="F27" s="239" t="s">
        <v>14</v>
      </c>
      <c r="G27" s="241"/>
      <c r="H27" s="12" t="s">
        <v>76</v>
      </c>
      <c r="I27" s="71" t="s">
        <v>75</v>
      </c>
    </row>
    <row r="28" spans="1:23">
      <c r="A28" s="1"/>
      <c r="B28" s="243" t="str">
        <f>'Input Data'!B29</f>
        <v>Badan Permukaan</v>
      </c>
      <c r="C28" s="233" t="str">
        <f>'Input Data'!C29</f>
        <v>periksa bagian luar unit, pastikan bersih, terpasang ketat satu dan lainnya dan tidak ada bekas tertimpa cairan ataupun gangguan lainnya.</v>
      </c>
      <c r="D28" s="233"/>
      <c r="E28" s="233"/>
      <c r="F28" s="238">
        <f>'Input Data'!F29</f>
        <v>1</v>
      </c>
      <c r="G28" s="234" t="s">
        <v>10</v>
      </c>
      <c r="H28" s="232" t="str">
        <f>IF(F28=1,"LULUS","TIDAK LULUS")</f>
        <v>LULUS</v>
      </c>
      <c r="I28" s="237">
        <f>(COUNTIF(H28:H37,"LULUS")/(COUNTA(H28:H37))*10)</f>
        <v>10</v>
      </c>
    </row>
    <row r="29" spans="1:23">
      <c r="A29" s="1"/>
      <c r="B29" s="243"/>
      <c r="C29" s="233"/>
      <c r="D29" s="233"/>
      <c r="E29" s="233"/>
      <c r="F29" s="238"/>
      <c r="G29" s="234"/>
      <c r="H29" s="232"/>
      <c r="I29" s="237"/>
    </row>
    <row r="30" spans="1:23">
      <c r="A30" s="1"/>
      <c r="B30" s="243"/>
      <c r="C30" s="233"/>
      <c r="D30" s="233"/>
      <c r="E30" s="233"/>
      <c r="F30" s="238"/>
      <c r="G30" s="234" t="s">
        <v>9</v>
      </c>
      <c r="H30" s="232"/>
      <c r="I30" s="237"/>
    </row>
    <row r="31" spans="1:23">
      <c r="A31" s="1"/>
      <c r="B31" s="243"/>
      <c r="C31" s="233"/>
      <c r="D31" s="233"/>
      <c r="E31" s="233"/>
      <c r="F31" s="238"/>
      <c r="G31" s="234"/>
      <c r="H31" s="232"/>
      <c r="I31" s="237"/>
    </row>
    <row r="32" spans="1:23">
      <c r="A32" s="1"/>
      <c r="B32" s="242" t="str">
        <f>'Input Data'!B33</f>
        <v>baterai</v>
      </c>
      <c r="C32" s="236" t="str">
        <f>'Input Data'!C33</f>
        <v>Pastikan baterai berfungsi dengan baik</v>
      </c>
      <c r="D32" s="236"/>
      <c r="E32" s="236"/>
      <c r="F32" s="238">
        <f>'Input Data'!F33</f>
        <v>1</v>
      </c>
      <c r="G32" s="234" t="s">
        <v>10</v>
      </c>
      <c r="H32" s="232" t="str">
        <f>IF(F32=1,"LULUS","TIDAK LULUS")</f>
        <v>LULUS</v>
      </c>
      <c r="I32" s="237"/>
    </row>
    <row r="33" spans="1:22">
      <c r="A33" s="1"/>
      <c r="B33" s="242"/>
      <c r="C33" s="236"/>
      <c r="D33" s="236"/>
      <c r="E33" s="236"/>
      <c r="F33" s="238"/>
      <c r="G33" s="234"/>
      <c r="H33" s="232"/>
      <c r="I33" s="237"/>
    </row>
    <row r="34" spans="1:22">
      <c r="A34" s="1"/>
      <c r="B34" s="242"/>
      <c r="C34" s="236"/>
      <c r="D34" s="236"/>
      <c r="E34" s="236"/>
      <c r="F34" s="238"/>
      <c r="G34" s="234" t="s">
        <v>9</v>
      </c>
      <c r="H34" s="232"/>
      <c r="I34" s="237"/>
    </row>
    <row r="35" spans="1:22">
      <c r="A35" s="1"/>
      <c r="B35" s="242"/>
      <c r="C35" s="236"/>
      <c r="D35" s="236"/>
      <c r="E35" s="236"/>
      <c r="F35" s="238"/>
      <c r="G35" s="234"/>
      <c r="H35" s="232"/>
      <c r="I35" s="237"/>
    </row>
    <row r="36" spans="1:22">
      <c r="A36" s="1"/>
      <c r="B36" s="242" t="str">
        <f>'Input Data'!B37</f>
        <v>tampilan dan indikator</v>
      </c>
      <c r="C36" s="244" t="str">
        <f>'Input Data'!C37</f>
        <v>selama pengecekan fungsi, pastikan tampilan indicator dan tampilan berfungsi seluruhnya, yakinkan bahwa tampilan digital berfungsi</v>
      </c>
      <c r="D36" s="244"/>
      <c r="E36" s="244"/>
      <c r="F36" s="238">
        <f>'Input Data'!F37</f>
        <v>1</v>
      </c>
      <c r="G36" s="20" t="s">
        <v>10</v>
      </c>
      <c r="H36" s="232" t="str">
        <f>IF(F36=1,"LULUS","TIDAK LULUS")</f>
        <v>LULUS</v>
      </c>
      <c r="I36" s="237"/>
    </row>
    <row r="37" spans="1:22" ht="22.5" customHeight="1">
      <c r="A37" s="1"/>
      <c r="B37" s="242"/>
      <c r="C37" s="244"/>
      <c r="D37" s="244"/>
      <c r="E37" s="244"/>
      <c r="F37" s="238"/>
      <c r="G37" s="20" t="s">
        <v>9</v>
      </c>
      <c r="H37" s="232"/>
      <c r="I37" s="237"/>
    </row>
    <row r="38" spans="1:22">
      <c r="B38" s="69"/>
      <c r="C38" s="70"/>
      <c r="D38" s="70"/>
      <c r="E38" s="70"/>
      <c r="F38" s="70"/>
      <c r="G38" s="14"/>
      <c r="H38" s="69"/>
      <c r="I38" s="68"/>
      <c r="K38" s="34"/>
    </row>
    <row r="39" spans="1:22">
      <c r="B39" s="67" t="s">
        <v>71</v>
      </c>
    </row>
    <row r="40" spans="1:22">
      <c r="B40" t="str">
        <f>'Input Data'!B41</f>
        <v>Thermometer Refrence</v>
      </c>
    </row>
    <row r="41" spans="1:22" ht="15" customHeight="1">
      <c r="B41" s="245" t="s">
        <v>92</v>
      </c>
      <c r="C41" s="247" t="s">
        <v>90</v>
      </c>
      <c r="D41" s="248"/>
      <c r="E41" s="248"/>
      <c r="F41" s="248"/>
      <c r="G41" s="249"/>
    </row>
    <row r="42" spans="1:22">
      <c r="B42" s="246"/>
      <c r="C42" s="65" t="s">
        <v>4</v>
      </c>
      <c r="D42" s="65" t="s">
        <v>3</v>
      </c>
      <c r="E42" s="65" t="s">
        <v>2</v>
      </c>
      <c r="F42" s="65" t="s">
        <v>7</v>
      </c>
      <c r="G42" s="65" t="s">
        <v>6</v>
      </c>
    </row>
    <row r="43" spans="1:22">
      <c r="B43" s="59">
        <f>'Input Data'!B44</f>
        <v>35</v>
      </c>
      <c r="C43" s="62">
        <f>'Input Data'!C44</f>
        <v>35.1</v>
      </c>
      <c r="D43" s="62">
        <f>'Input Data'!D44</f>
        <v>35.1</v>
      </c>
      <c r="E43" s="62">
        <f>'Input Data'!E44</f>
        <v>35.1</v>
      </c>
      <c r="F43" s="62">
        <f>'Input Data'!F44</f>
        <v>35.200000000000003</v>
      </c>
      <c r="G43" s="62">
        <f>'Input Data'!G44</f>
        <v>35.200000000000003</v>
      </c>
      <c r="U43" s="60"/>
    </row>
    <row r="44" spans="1:22">
      <c r="B44" s="59">
        <f>'Input Data'!B45</f>
        <v>37</v>
      </c>
      <c r="C44" s="62">
        <f>'Input Data'!C45</f>
        <v>36.9</v>
      </c>
      <c r="D44" s="62">
        <f>'Input Data'!D45</f>
        <v>36.9</v>
      </c>
      <c r="E44" s="62">
        <f>'Input Data'!E45</f>
        <v>37.200000000000003</v>
      </c>
      <c r="F44" s="62">
        <f>'Input Data'!F45</f>
        <v>37.1</v>
      </c>
      <c r="G44" s="62">
        <f>'Input Data'!G45</f>
        <v>37.200000000000003</v>
      </c>
      <c r="U44" s="60"/>
    </row>
    <row r="45" spans="1:22">
      <c r="B45" s="59">
        <f>'Input Data'!B46</f>
        <v>41</v>
      </c>
      <c r="C45" s="62">
        <f>'Input Data'!C46</f>
        <v>40.9</v>
      </c>
      <c r="D45" s="62">
        <f>'Input Data'!D46</f>
        <v>41.1</v>
      </c>
      <c r="E45" s="62">
        <f>'Input Data'!E46</f>
        <v>41.2</v>
      </c>
      <c r="F45" s="62">
        <f>'Input Data'!F46</f>
        <v>41.2</v>
      </c>
      <c r="G45" s="62">
        <f>'Input Data'!G46</f>
        <v>41.2</v>
      </c>
      <c r="U45" s="60"/>
    </row>
    <row r="46" spans="1:22"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2">
      <c r="B47" s="60" t="s">
        <v>91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2" ht="28.5" customHeight="1">
      <c r="B48" s="245" t="s">
        <v>92</v>
      </c>
      <c r="C48" s="247" t="s">
        <v>60</v>
      </c>
      <c r="D48" s="248"/>
      <c r="E48" s="248"/>
      <c r="F48" s="248"/>
      <c r="G48" s="249"/>
      <c r="H48" s="250" t="s">
        <v>69</v>
      </c>
      <c r="I48" s="251"/>
      <c r="J48" s="251"/>
      <c r="K48" s="251"/>
      <c r="L48" s="252"/>
      <c r="M48" s="235" t="s">
        <v>93</v>
      </c>
      <c r="N48" s="254" t="s">
        <v>94</v>
      </c>
      <c r="O48" s="263" t="s">
        <v>70</v>
      </c>
      <c r="P48" s="258" t="s">
        <v>67</v>
      </c>
      <c r="Q48" s="259" t="s">
        <v>66</v>
      </c>
      <c r="R48" s="259" t="s">
        <v>65</v>
      </c>
      <c r="S48" s="260" t="s">
        <v>64</v>
      </c>
      <c r="T48" s="259" t="s">
        <v>63</v>
      </c>
      <c r="U48" s="262" t="s">
        <v>62</v>
      </c>
      <c r="V48" s="60"/>
    </row>
    <row r="49" spans="2:22">
      <c r="B49" s="246"/>
      <c r="C49" s="65" t="s">
        <v>4</v>
      </c>
      <c r="D49" s="65" t="s">
        <v>3</v>
      </c>
      <c r="E49" s="65" t="s">
        <v>2</v>
      </c>
      <c r="F49" s="65" t="s">
        <v>7</v>
      </c>
      <c r="G49" s="65" t="s">
        <v>6</v>
      </c>
      <c r="H49" s="65" t="s">
        <v>4</v>
      </c>
      <c r="I49" s="65" t="s">
        <v>3</v>
      </c>
      <c r="J49" s="65" t="s">
        <v>2</v>
      </c>
      <c r="K49" s="65" t="s">
        <v>7</v>
      </c>
      <c r="L49" s="65" t="s">
        <v>6</v>
      </c>
      <c r="M49" s="235"/>
      <c r="N49" s="255"/>
      <c r="O49" s="264"/>
      <c r="P49" s="258"/>
      <c r="Q49" s="259"/>
      <c r="R49" s="259"/>
      <c r="S49" s="261"/>
      <c r="T49" s="259"/>
      <c r="U49" s="262"/>
      <c r="V49" s="60"/>
    </row>
    <row r="50" spans="2:22">
      <c r="B50" s="59">
        <f>'Input Data'!B51</f>
        <v>35</v>
      </c>
      <c r="C50" s="62">
        <f>'Input Data'!C51</f>
        <v>35.1</v>
      </c>
      <c r="D50" s="62">
        <f>'Input Data'!D51</f>
        <v>35</v>
      </c>
      <c r="E50" s="62">
        <f>'Input Data'!E51</f>
        <v>35.1</v>
      </c>
      <c r="F50" s="62">
        <f>'Input Data'!F51</f>
        <v>35.1</v>
      </c>
      <c r="G50" s="62">
        <f>'Input Data'!G51</f>
        <v>35.200000000000003</v>
      </c>
      <c r="H50" s="62">
        <f t="shared" ref="H50:L52" si="0">C50</f>
        <v>35.1</v>
      </c>
      <c r="I50" s="62">
        <f t="shared" si="0"/>
        <v>35</v>
      </c>
      <c r="J50" s="62">
        <f t="shared" si="0"/>
        <v>35.1</v>
      </c>
      <c r="K50" s="62">
        <f t="shared" si="0"/>
        <v>35.1</v>
      </c>
      <c r="L50" s="62">
        <f t="shared" si="0"/>
        <v>35.200000000000003</v>
      </c>
      <c r="M50" s="62">
        <f>AVERAGE(H50:L50)</f>
        <v>35.1</v>
      </c>
      <c r="N50" s="62">
        <f>AVERAGE(C43:G43)</f>
        <v>35.14</v>
      </c>
      <c r="O50" s="62">
        <f>M50-B50</f>
        <v>0.10000000000000142</v>
      </c>
      <c r="P50" s="66">
        <f>STDEV(C50:G50)</f>
        <v>7.0710678118655765E-2</v>
      </c>
      <c r="Q50" s="63">
        <f>P50/SQRT(5)</f>
        <v>3.1622776601684242E-2</v>
      </c>
      <c r="R50" s="63">
        <f>budget!K15</f>
        <v>9.3291191808184196E-2</v>
      </c>
      <c r="S50" s="64">
        <v>0.3</v>
      </c>
      <c r="T50" s="61" t="str">
        <f>IF(ABS(O50)+R50&lt;=(S50+R50),"Lulus","Tidak Lulus")</f>
        <v>Lulus</v>
      </c>
      <c r="U50" s="253">
        <f>COUNTIF(T50:T52,"LULUS")/(COUNTA(T50:T52))*90</f>
        <v>90</v>
      </c>
      <c r="V50" s="60"/>
    </row>
    <row r="51" spans="2:22">
      <c r="B51" s="59">
        <f>'Input Data'!B52</f>
        <v>37</v>
      </c>
      <c r="C51" s="62">
        <f>'Input Data'!C52</f>
        <v>37.200000000000003</v>
      </c>
      <c r="D51" s="62">
        <f>'Input Data'!D52</f>
        <v>37.1</v>
      </c>
      <c r="E51" s="62">
        <f>'Input Data'!E52</f>
        <v>37.200000000000003</v>
      </c>
      <c r="F51" s="62">
        <f>'Input Data'!F52</f>
        <v>37.130000000000003</v>
      </c>
      <c r="G51" s="62">
        <f>'Input Data'!G52</f>
        <v>37.200000000000003</v>
      </c>
      <c r="H51" s="62">
        <f t="shared" si="0"/>
        <v>37.200000000000003</v>
      </c>
      <c r="I51" s="62">
        <f t="shared" si="0"/>
        <v>37.1</v>
      </c>
      <c r="J51" s="62">
        <f t="shared" si="0"/>
        <v>37.200000000000003</v>
      </c>
      <c r="K51" s="62">
        <f t="shared" si="0"/>
        <v>37.130000000000003</v>
      </c>
      <c r="L51" s="62">
        <f t="shared" si="0"/>
        <v>37.200000000000003</v>
      </c>
      <c r="M51" s="62">
        <f>AVERAGE(H51:L51)</f>
        <v>37.166000000000011</v>
      </c>
      <c r="N51" s="62">
        <f t="shared" ref="N51:N52" si="1">AVERAGE(C44:G44)</f>
        <v>37.06</v>
      </c>
      <c r="O51" s="62">
        <f>M51-B51</f>
        <v>0.16600000000001103</v>
      </c>
      <c r="P51" s="66">
        <f>STDEV(C51:G51)</f>
        <v>4.7749345545253834E-2</v>
      </c>
      <c r="Q51" s="63">
        <f>P51/SQRT(5)</f>
        <v>2.1354156504062867E-2</v>
      </c>
      <c r="R51" s="63">
        <f>budget!K29</f>
        <v>7.3952444012964941E-2</v>
      </c>
      <c r="S51" s="64">
        <v>0.2</v>
      </c>
      <c r="T51" s="61" t="str">
        <f t="shared" ref="T51:T52" si="2">IF(ABS(O51)+R51&lt;=(S51+R51),"Lulus","Tidak Lulus")</f>
        <v>Lulus</v>
      </c>
      <c r="U51" s="253"/>
      <c r="V51" s="60"/>
    </row>
    <row r="52" spans="2:22">
      <c r="B52" s="59">
        <f>'Input Data'!B53</f>
        <v>41</v>
      </c>
      <c r="C52" s="62">
        <f>'Input Data'!C53</f>
        <v>41.2</v>
      </c>
      <c r="D52" s="62">
        <f>'Input Data'!D53</f>
        <v>41.1</v>
      </c>
      <c r="E52" s="62">
        <f>'Input Data'!E53</f>
        <v>41.3</v>
      </c>
      <c r="F52" s="62">
        <f>'Input Data'!F53</f>
        <v>41.3</v>
      </c>
      <c r="G52" s="62">
        <f>'Input Data'!G53</f>
        <v>41.3</v>
      </c>
      <c r="H52" s="62">
        <f t="shared" si="0"/>
        <v>41.2</v>
      </c>
      <c r="I52" s="62">
        <f t="shared" si="0"/>
        <v>41.1</v>
      </c>
      <c r="J52" s="62">
        <f t="shared" si="0"/>
        <v>41.3</v>
      </c>
      <c r="K52" s="62">
        <f t="shared" si="0"/>
        <v>41.3</v>
      </c>
      <c r="L52" s="62">
        <f t="shared" si="0"/>
        <v>41.3</v>
      </c>
      <c r="M52" s="62">
        <f>AVERAGE(H52:L52)</f>
        <v>41.239999999999995</v>
      </c>
      <c r="N52" s="62">
        <f t="shared" si="1"/>
        <v>41.120000000000005</v>
      </c>
      <c r="O52" s="62">
        <f>M52-B52</f>
        <v>0.23999999999999488</v>
      </c>
      <c r="P52" s="66">
        <f>STDEV(C52:G52)</f>
        <v>8.9442719099989285E-2</v>
      </c>
      <c r="Q52" s="63">
        <f>P52/SQRT(5)</f>
        <v>3.9999999999998967E-2</v>
      </c>
      <c r="R52" s="63">
        <f>budget!K43</f>
        <v>0.11158956300233024</v>
      </c>
      <c r="S52" s="64">
        <v>0.3</v>
      </c>
      <c r="T52" s="61" t="str">
        <f t="shared" si="2"/>
        <v>Lulus</v>
      </c>
      <c r="U52" s="253"/>
      <c r="V52" s="60"/>
    </row>
    <row r="53" spans="2:22"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</row>
    <row r="54" spans="2:22">
      <c r="B54" s="59" t="s">
        <v>61</v>
      </c>
      <c r="C54" s="87">
        <f>U50+J28</f>
        <v>90</v>
      </c>
    </row>
  </sheetData>
  <mergeCells count="63">
    <mergeCell ref="U50:U52"/>
    <mergeCell ref="N48:N49"/>
    <mergeCell ref="S15:S16"/>
    <mergeCell ref="T15:T16"/>
    <mergeCell ref="P48:P49"/>
    <mergeCell ref="Q48:Q49"/>
    <mergeCell ref="R48:R49"/>
    <mergeCell ref="S48:S49"/>
    <mergeCell ref="T48:T49"/>
    <mergeCell ref="U48:U49"/>
    <mergeCell ref="O48:O49"/>
    <mergeCell ref="U15:U16"/>
    <mergeCell ref="B41:B42"/>
    <mergeCell ref="C41:G41"/>
    <mergeCell ref="B48:B49"/>
    <mergeCell ref="C48:G48"/>
    <mergeCell ref="H48:L48"/>
    <mergeCell ref="B36:B37"/>
    <mergeCell ref="H36:H37"/>
    <mergeCell ref="B28:B31"/>
    <mergeCell ref="B32:B35"/>
    <mergeCell ref="G34:G35"/>
    <mergeCell ref="C36:E37"/>
    <mergeCell ref="F36:F37"/>
    <mergeCell ref="F28:F31"/>
    <mergeCell ref="M48:M49"/>
    <mergeCell ref="C32:E35"/>
    <mergeCell ref="I28:I37"/>
    <mergeCell ref="G24:H24"/>
    <mergeCell ref="H32:H35"/>
    <mergeCell ref="F32:F35"/>
    <mergeCell ref="G32:G33"/>
    <mergeCell ref="C27:E27"/>
    <mergeCell ref="F27:G27"/>
    <mergeCell ref="G28:G29"/>
    <mergeCell ref="G5:H5"/>
    <mergeCell ref="C6:D6"/>
    <mergeCell ref="G6:H6"/>
    <mergeCell ref="C7:D7"/>
    <mergeCell ref="C5:D5"/>
    <mergeCell ref="G7:H7"/>
    <mergeCell ref="G23:H23"/>
    <mergeCell ref="C15:D15"/>
    <mergeCell ref="H28:H31"/>
    <mergeCell ref="C28:E31"/>
    <mergeCell ref="G30:G31"/>
    <mergeCell ref="C17:D17"/>
    <mergeCell ref="C16:D16"/>
    <mergeCell ref="C18:D18"/>
    <mergeCell ref="C8:D8"/>
    <mergeCell ref="V15:W15"/>
    <mergeCell ref="J15:J16"/>
    <mergeCell ref="K15:K16"/>
    <mergeCell ref="L15:L16"/>
    <mergeCell ref="M15:M16"/>
    <mergeCell ref="N15:N16"/>
    <mergeCell ref="O15:P15"/>
    <mergeCell ref="Q15:R15"/>
    <mergeCell ref="G9:H9"/>
    <mergeCell ref="C10:D10"/>
    <mergeCell ref="G8:H8"/>
    <mergeCell ref="C9:D9"/>
    <mergeCell ref="G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2900-8843-4CA3-A307-F77A7BA31D93}">
  <dimension ref="B1:L43"/>
  <sheetViews>
    <sheetView workbookViewId="0">
      <selection activeCell="Q42" sqref="Q42"/>
    </sheetView>
  </sheetViews>
  <sheetFormatPr defaultRowHeight="15"/>
  <cols>
    <col min="2" max="2" width="26.7109375" customWidth="1"/>
    <col min="4" max="4" width="17.28515625" customWidth="1"/>
  </cols>
  <sheetData>
    <row r="1" spans="2:12">
      <c r="B1" s="265" t="s">
        <v>121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</row>
    <row r="3" spans="2:12">
      <c r="B3" s="89" t="s">
        <v>95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2:12">
      <c r="B4" s="95" t="s">
        <v>96</v>
      </c>
      <c r="C4" s="95" t="s">
        <v>97</v>
      </c>
      <c r="D4" s="95" t="s">
        <v>98</v>
      </c>
      <c r="E4" s="95" t="s">
        <v>99</v>
      </c>
      <c r="F4" s="95" t="s">
        <v>100</v>
      </c>
      <c r="G4" s="95" t="s">
        <v>101</v>
      </c>
      <c r="H4" s="95" t="s">
        <v>102</v>
      </c>
      <c r="I4" s="95" t="s">
        <v>103</v>
      </c>
      <c r="J4" s="95" t="s">
        <v>104</v>
      </c>
      <c r="K4" s="95" t="s">
        <v>105</v>
      </c>
      <c r="L4" s="95" t="s">
        <v>106</v>
      </c>
    </row>
    <row r="5" spans="2:12">
      <c r="B5" s="91" t="s">
        <v>107</v>
      </c>
      <c r="C5" s="92" t="s">
        <v>108</v>
      </c>
      <c r="D5" s="96" t="s">
        <v>109</v>
      </c>
      <c r="E5" s="97">
        <f>skorsing!Q50</f>
        <v>3.1622776601684242E-2</v>
      </c>
      <c r="F5" s="96">
        <v>1</v>
      </c>
      <c r="G5" s="96">
        <f>5-1</f>
        <v>4</v>
      </c>
      <c r="H5" s="96">
        <f>E5/F5</f>
        <v>3.1622776601684242E-2</v>
      </c>
      <c r="I5" s="92">
        <v>1</v>
      </c>
      <c r="J5" s="96">
        <f>H5*I5</f>
        <v>3.1622776601684242E-2</v>
      </c>
      <c r="K5" s="96">
        <f>J5^2</f>
        <v>1.0000000000000284E-3</v>
      </c>
      <c r="L5" s="96">
        <f>J5^4/G5</f>
        <v>2.5000000000001423E-7</v>
      </c>
    </row>
    <row r="6" spans="2:12">
      <c r="B6" s="91" t="s">
        <v>110</v>
      </c>
      <c r="C6" s="92" t="s">
        <v>108</v>
      </c>
      <c r="D6" s="96" t="s">
        <v>109</v>
      </c>
      <c r="E6" s="96">
        <v>0</v>
      </c>
      <c r="F6" s="96">
        <v>2</v>
      </c>
      <c r="G6" s="96">
        <v>50</v>
      </c>
      <c r="H6" s="96">
        <f t="shared" ref="H6:H9" si="0">E6/F6</f>
        <v>0</v>
      </c>
      <c r="I6" s="92">
        <v>1</v>
      </c>
      <c r="J6" s="96">
        <f t="shared" ref="J6:J10" si="1">H6*I6</f>
        <v>0</v>
      </c>
      <c r="K6" s="96">
        <f t="shared" ref="K6:K10" si="2">J6^2</f>
        <v>0</v>
      </c>
      <c r="L6" s="96">
        <f t="shared" ref="L6:L9" si="3">J6^4/G6</f>
        <v>0</v>
      </c>
    </row>
    <row r="7" spans="2:12" ht="18" customHeight="1">
      <c r="B7" s="93" t="s">
        <v>111</v>
      </c>
      <c r="C7" s="92" t="s">
        <v>108</v>
      </c>
      <c r="D7" s="96" t="s">
        <v>112</v>
      </c>
      <c r="E7" s="96">
        <v>0</v>
      </c>
      <c r="F7" s="96">
        <f>SQRT(3)</f>
        <v>1.7320508075688772</v>
      </c>
      <c r="G7" s="96">
        <v>50</v>
      </c>
      <c r="H7" s="96">
        <f t="shared" si="0"/>
        <v>0</v>
      </c>
      <c r="I7" s="92">
        <v>1</v>
      </c>
      <c r="J7" s="96">
        <f t="shared" si="1"/>
        <v>0</v>
      </c>
      <c r="K7" s="96">
        <f t="shared" si="2"/>
        <v>0</v>
      </c>
      <c r="L7" s="96">
        <f t="shared" si="3"/>
        <v>0</v>
      </c>
    </row>
    <row r="8" spans="2:12" ht="18.75" customHeight="1">
      <c r="B8" s="93" t="s">
        <v>113</v>
      </c>
      <c r="C8" s="92" t="s">
        <v>108</v>
      </c>
      <c r="D8" s="96" t="s">
        <v>112</v>
      </c>
      <c r="E8" s="96">
        <v>0</v>
      </c>
      <c r="F8" s="96">
        <f t="shared" ref="F8:F10" si="4">SQRT(3)</f>
        <v>1.7320508075688772</v>
      </c>
      <c r="G8" s="96">
        <v>50</v>
      </c>
      <c r="H8" s="96">
        <f t="shared" si="0"/>
        <v>0</v>
      </c>
      <c r="I8" s="92">
        <v>1</v>
      </c>
      <c r="J8" s="96">
        <f t="shared" si="1"/>
        <v>0</v>
      </c>
      <c r="K8" s="96">
        <f t="shared" si="2"/>
        <v>0</v>
      </c>
      <c r="L8" s="96">
        <f t="shared" si="3"/>
        <v>0</v>
      </c>
    </row>
    <row r="9" spans="2:12">
      <c r="B9" s="91" t="s">
        <v>114</v>
      </c>
      <c r="C9" s="92" t="s">
        <v>108</v>
      </c>
      <c r="D9" s="96" t="s">
        <v>112</v>
      </c>
      <c r="E9" s="96">
        <v>0</v>
      </c>
      <c r="F9" s="96">
        <f t="shared" si="4"/>
        <v>1.7320508075688772</v>
      </c>
      <c r="G9" s="96">
        <v>50</v>
      </c>
      <c r="H9" s="96">
        <f t="shared" si="0"/>
        <v>0</v>
      </c>
      <c r="I9" s="92">
        <v>1</v>
      </c>
      <c r="J9" s="96">
        <f t="shared" si="1"/>
        <v>0</v>
      </c>
      <c r="K9" s="96">
        <f t="shared" si="2"/>
        <v>0</v>
      </c>
      <c r="L9" s="96">
        <f t="shared" si="3"/>
        <v>0</v>
      </c>
    </row>
    <row r="10" spans="2:12">
      <c r="B10" s="91" t="s">
        <v>115</v>
      </c>
      <c r="C10" s="92" t="s">
        <v>108</v>
      </c>
      <c r="D10" s="96" t="s">
        <v>112</v>
      </c>
      <c r="E10" s="96">
        <f>0.5*skorsing!$C$11</f>
        <v>0.05</v>
      </c>
      <c r="F10" s="96">
        <f t="shared" si="4"/>
        <v>1.7320508075688772</v>
      </c>
      <c r="G10" s="96">
        <v>50</v>
      </c>
      <c r="H10" s="96">
        <f>E10/F10</f>
        <v>2.8867513459481291E-2</v>
      </c>
      <c r="I10" s="92">
        <v>1</v>
      </c>
      <c r="J10" s="96">
        <f t="shared" si="1"/>
        <v>2.8867513459481291E-2</v>
      </c>
      <c r="K10" s="96">
        <f t="shared" si="2"/>
        <v>8.333333333333335E-4</v>
      </c>
      <c r="L10" s="96">
        <f>J10^4/G10</f>
        <v>1.3888888888888894E-8</v>
      </c>
    </row>
    <row r="11" spans="2:12">
      <c r="B11" s="266" t="s">
        <v>116</v>
      </c>
      <c r="C11" s="267"/>
      <c r="D11" s="267"/>
      <c r="E11" s="267"/>
      <c r="F11" s="267"/>
      <c r="G11" s="267"/>
      <c r="H11" s="267"/>
      <c r="I11" s="267"/>
      <c r="J11" s="268"/>
      <c r="K11" s="91">
        <f>SUM(K5:K10)</f>
        <v>1.8333333333333619E-3</v>
      </c>
      <c r="L11" s="91">
        <f>SUM(L5:L10)</f>
        <v>2.6388888888890311E-7</v>
      </c>
    </row>
    <row r="12" spans="2:12">
      <c r="B12" s="266" t="s">
        <v>117</v>
      </c>
      <c r="C12" s="267"/>
      <c r="D12" s="267"/>
      <c r="E12" s="267"/>
      <c r="F12" s="267"/>
      <c r="G12" s="267"/>
      <c r="H12" s="267"/>
      <c r="I12" s="267"/>
      <c r="J12" s="268"/>
      <c r="K12" s="91">
        <f>SQRT(K11)</f>
        <v>4.2817441928884099E-2</v>
      </c>
      <c r="L12" s="90"/>
    </row>
    <row r="13" spans="2:12">
      <c r="B13" s="266" t="s">
        <v>118</v>
      </c>
      <c r="C13" s="267"/>
      <c r="D13" s="267"/>
      <c r="E13" s="267"/>
      <c r="F13" s="267"/>
      <c r="G13" s="267"/>
      <c r="H13" s="267"/>
      <c r="I13" s="267"/>
      <c r="J13" s="268"/>
      <c r="K13" s="91">
        <f>K12^4/L11</f>
        <v>12.736842105262872</v>
      </c>
      <c r="L13" s="90"/>
    </row>
    <row r="14" spans="2:12">
      <c r="B14" s="266" t="s">
        <v>119</v>
      </c>
      <c r="C14" s="267"/>
      <c r="D14" s="267"/>
      <c r="E14" s="267"/>
      <c r="F14" s="267"/>
      <c r="G14" s="267"/>
      <c r="H14" s="267"/>
      <c r="I14" s="267"/>
      <c r="J14" s="268"/>
      <c r="K14" s="91">
        <f>TINV(0.05,K13)</f>
        <v>2.1788128296672284</v>
      </c>
      <c r="L14" s="90"/>
    </row>
    <row r="15" spans="2:12">
      <c r="B15" s="266" t="s">
        <v>120</v>
      </c>
      <c r="C15" s="267"/>
      <c r="D15" s="267"/>
      <c r="E15" s="267"/>
      <c r="F15" s="267"/>
      <c r="G15" s="267"/>
      <c r="H15" s="267"/>
      <c r="I15" s="267"/>
      <c r="J15" s="268"/>
      <c r="K15" s="94">
        <f>K14*K12</f>
        <v>9.3291191808184196E-2</v>
      </c>
      <c r="L15" s="90"/>
    </row>
    <row r="17" spans="2:12">
      <c r="B17" s="89" t="s">
        <v>122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</row>
    <row r="18" spans="2:12">
      <c r="B18" s="95" t="s">
        <v>96</v>
      </c>
      <c r="C18" s="95" t="s">
        <v>97</v>
      </c>
      <c r="D18" s="95" t="s">
        <v>98</v>
      </c>
      <c r="E18" s="95" t="s">
        <v>99</v>
      </c>
      <c r="F18" s="95" t="s">
        <v>100</v>
      </c>
      <c r="G18" s="95" t="s">
        <v>101</v>
      </c>
      <c r="H18" s="95" t="s">
        <v>102</v>
      </c>
      <c r="I18" s="95" t="s">
        <v>103</v>
      </c>
      <c r="J18" s="95" t="s">
        <v>104</v>
      </c>
      <c r="K18" s="95" t="s">
        <v>105</v>
      </c>
      <c r="L18" s="95" t="s">
        <v>106</v>
      </c>
    </row>
    <row r="19" spans="2:12">
      <c r="B19" s="91" t="s">
        <v>107</v>
      </c>
      <c r="C19" s="92" t="s">
        <v>108</v>
      </c>
      <c r="D19" s="96" t="s">
        <v>109</v>
      </c>
      <c r="E19" s="97">
        <f>skorsing!Q51</f>
        <v>2.1354156504062867E-2</v>
      </c>
      <c r="F19" s="96">
        <v>1</v>
      </c>
      <c r="G19" s="96">
        <f>5-1</f>
        <v>4</v>
      </c>
      <c r="H19" s="96">
        <f>E19/F19</f>
        <v>2.1354156504062867E-2</v>
      </c>
      <c r="I19" s="92">
        <v>1</v>
      </c>
      <c r="J19" s="96">
        <f>H19*I19</f>
        <v>2.1354156504062867E-2</v>
      </c>
      <c r="K19" s="96">
        <f>J19^2</f>
        <v>4.5600000000001043E-4</v>
      </c>
      <c r="L19" s="96">
        <f>J19^4/G19</f>
        <v>5.198400000000238E-8</v>
      </c>
    </row>
    <row r="20" spans="2:12">
      <c r="B20" s="91" t="s">
        <v>110</v>
      </c>
      <c r="C20" s="92" t="s">
        <v>108</v>
      </c>
      <c r="D20" s="96" t="s">
        <v>109</v>
      </c>
      <c r="E20" s="96">
        <v>0</v>
      </c>
      <c r="F20" s="96">
        <v>2</v>
      </c>
      <c r="G20" s="96">
        <v>50</v>
      </c>
      <c r="H20" s="96">
        <f t="shared" ref="H20:H23" si="5">E20/F20</f>
        <v>0</v>
      </c>
      <c r="I20" s="92">
        <v>1</v>
      </c>
      <c r="J20" s="96">
        <f t="shared" ref="J20:J24" si="6">H20*I20</f>
        <v>0</v>
      </c>
      <c r="K20" s="96">
        <f t="shared" ref="K20:K24" si="7">J20^2</f>
        <v>0</v>
      </c>
      <c r="L20" s="96">
        <f t="shared" ref="L20:L23" si="8">J20^4/G20</f>
        <v>0</v>
      </c>
    </row>
    <row r="21" spans="2:12">
      <c r="B21" s="93" t="s">
        <v>111</v>
      </c>
      <c r="C21" s="92" t="s">
        <v>108</v>
      </c>
      <c r="D21" s="96" t="s">
        <v>112</v>
      </c>
      <c r="E21" s="96">
        <v>0</v>
      </c>
      <c r="F21" s="96">
        <f>SQRT(3)</f>
        <v>1.7320508075688772</v>
      </c>
      <c r="G21" s="96">
        <v>50</v>
      </c>
      <c r="H21" s="96">
        <f t="shared" si="5"/>
        <v>0</v>
      </c>
      <c r="I21" s="92">
        <v>1</v>
      </c>
      <c r="J21" s="96">
        <f t="shared" si="6"/>
        <v>0</v>
      </c>
      <c r="K21" s="96">
        <f t="shared" si="7"/>
        <v>0</v>
      </c>
      <c r="L21" s="96">
        <f t="shared" si="8"/>
        <v>0</v>
      </c>
    </row>
    <row r="22" spans="2:12">
      <c r="B22" s="93" t="s">
        <v>113</v>
      </c>
      <c r="C22" s="92" t="s">
        <v>108</v>
      </c>
      <c r="D22" s="96" t="s">
        <v>112</v>
      </c>
      <c r="E22" s="96">
        <v>0</v>
      </c>
      <c r="F22" s="96">
        <f t="shared" ref="F22:F24" si="9">SQRT(3)</f>
        <v>1.7320508075688772</v>
      </c>
      <c r="G22" s="96">
        <v>50</v>
      </c>
      <c r="H22" s="96">
        <f t="shared" si="5"/>
        <v>0</v>
      </c>
      <c r="I22" s="92">
        <v>1</v>
      </c>
      <c r="J22" s="96">
        <f t="shared" si="6"/>
        <v>0</v>
      </c>
      <c r="K22" s="96">
        <f t="shared" si="7"/>
        <v>0</v>
      </c>
      <c r="L22" s="96">
        <f t="shared" si="8"/>
        <v>0</v>
      </c>
    </row>
    <row r="23" spans="2:12">
      <c r="B23" s="91" t="s">
        <v>114</v>
      </c>
      <c r="C23" s="92" t="s">
        <v>108</v>
      </c>
      <c r="D23" s="96" t="s">
        <v>112</v>
      </c>
      <c r="E23" s="96">
        <v>0</v>
      </c>
      <c r="F23" s="96">
        <f t="shared" si="9"/>
        <v>1.7320508075688772</v>
      </c>
      <c r="G23" s="96">
        <v>50</v>
      </c>
      <c r="H23" s="96">
        <f t="shared" si="5"/>
        <v>0</v>
      </c>
      <c r="I23" s="92">
        <v>1</v>
      </c>
      <c r="J23" s="96">
        <f t="shared" si="6"/>
        <v>0</v>
      </c>
      <c r="K23" s="96">
        <f t="shared" si="7"/>
        <v>0</v>
      </c>
      <c r="L23" s="96">
        <f t="shared" si="8"/>
        <v>0</v>
      </c>
    </row>
    <row r="24" spans="2:12">
      <c r="B24" s="91" t="s">
        <v>115</v>
      </c>
      <c r="C24" s="92" t="s">
        <v>108</v>
      </c>
      <c r="D24" s="96" t="s">
        <v>112</v>
      </c>
      <c r="E24" s="96">
        <f>0.5*skorsing!$C$11</f>
        <v>0.05</v>
      </c>
      <c r="F24" s="96">
        <f t="shared" si="9"/>
        <v>1.7320508075688772</v>
      </c>
      <c r="G24" s="96">
        <v>50</v>
      </c>
      <c r="H24" s="96">
        <f>E24/F24</f>
        <v>2.8867513459481291E-2</v>
      </c>
      <c r="I24" s="92">
        <v>1</v>
      </c>
      <c r="J24" s="96">
        <f t="shared" si="6"/>
        <v>2.8867513459481291E-2</v>
      </c>
      <c r="K24" s="96">
        <f t="shared" si="7"/>
        <v>8.333333333333335E-4</v>
      </c>
      <c r="L24" s="96">
        <f>J24^4/G24</f>
        <v>1.3888888888888894E-8</v>
      </c>
    </row>
    <row r="25" spans="2:12">
      <c r="B25" s="266" t="s">
        <v>116</v>
      </c>
      <c r="C25" s="267"/>
      <c r="D25" s="267"/>
      <c r="E25" s="267"/>
      <c r="F25" s="267"/>
      <c r="G25" s="267"/>
      <c r="H25" s="267"/>
      <c r="I25" s="267"/>
      <c r="J25" s="268"/>
      <c r="K25" s="91">
        <f>SUM(K19:K24)</f>
        <v>1.2893333333333439E-3</v>
      </c>
      <c r="L25" s="91">
        <f>SUM(L19:L24)</f>
        <v>6.5872888888891278E-8</v>
      </c>
    </row>
    <row r="26" spans="2:12">
      <c r="B26" s="266" t="s">
        <v>117</v>
      </c>
      <c r="C26" s="267"/>
      <c r="D26" s="267"/>
      <c r="E26" s="267"/>
      <c r="F26" s="267"/>
      <c r="G26" s="267"/>
      <c r="H26" s="267"/>
      <c r="I26" s="267"/>
      <c r="J26" s="268"/>
      <c r="K26" s="91">
        <f>SQRT(K25)</f>
        <v>3.5907288025320762E-2</v>
      </c>
      <c r="L26" s="90"/>
    </row>
    <row r="27" spans="2:12">
      <c r="B27" s="266" t="s">
        <v>118</v>
      </c>
      <c r="C27" s="267"/>
      <c r="D27" s="267"/>
      <c r="E27" s="267"/>
      <c r="F27" s="267"/>
      <c r="G27" s="267"/>
      <c r="H27" s="267"/>
      <c r="I27" s="267"/>
      <c r="J27" s="268"/>
      <c r="K27" s="91">
        <f>K26^4/L25</f>
        <v>25.236185515537834</v>
      </c>
      <c r="L27" s="90"/>
    </row>
    <row r="28" spans="2:12">
      <c r="B28" s="266" t="s">
        <v>119</v>
      </c>
      <c r="C28" s="267"/>
      <c r="D28" s="267"/>
      <c r="E28" s="267"/>
      <c r="F28" s="267"/>
      <c r="G28" s="267"/>
      <c r="H28" s="267"/>
      <c r="I28" s="267"/>
      <c r="J28" s="268"/>
      <c r="K28" s="91">
        <f>TINV(0.05,K27)</f>
        <v>2.0595385527532977</v>
      </c>
      <c r="L28" s="90"/>
    </row>
    <row r="29" spans="2:12">
      <c r="B29" s="266" t="s">
        <v>120</v>
      </c>
      <c r="C29" s="267"/>
      <c r="D29" s="267"/>
      <c r="E29" s="267"/>
      <c r="F29" s="267"/>
      <c r="G29" s="267"/>
      <c r="H29" s="267"/>
      <c r="I29" s="267"/>
      <c r="J29" s="268"/>
      <c r="K29" s="94">
        <f>K28*K26</f>
        <v>7.3952444012964941E-2</v>
      </c>
      <c r="L29" s="90"/>
    </row>
    <row r="31" spans="2:12">
      <c r="B31" s="89" t="s">
        <v>123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</row>
    <row r="32" spans="2:12">
      <c r="B32" s="95" t="s">
        <v>96</v>
      </c>
      <c r="C32" s="95" t="s">
        <v>97</v>
      </c>
      <c r="D32" s="95" t="s">
        <v>98</v>
      </c>
      <c r="E32" s="95" t="s">
        <v>99</v>
      </c>
      <c r="F32" s="95" t="s">
        <v>100</v>
      </c>
      <c r="G32" s="95" t="s">
        <v>101</v>
      </c>
      <c r="H32" s="95" t="s">
        <v>102</v>
      </c>
      <c r="I32" s="95" t="s">
        <v>103</v>
      </c>
      <c r="J32" s="95" t="s">
        <v>104</v>
      </c>
      <c r="K32" s="95" t="s">
        <v>105</v>
      </c>
      <c r="L32" s="95" t="s">
        <v>106</v>
      </c>
    </row>
    <row r="33" spans="2:12">
      <c r="B33" s="91" t="s">
        <v>107</v>
      </c>
      <c r="C33" s="92" t="s">
        <v>108</v>
      </c>
      <c r="D33" s="96" t="s">
        <v>109</v>
      </c>
      <c r="E33" s="97">
        <f>skorsing!Q52</f>
        <v>3.9999999999998967E-2</v>
      </c>
      <c r="F33" s="96">
        <v>1</v>
      </c>
      <c r="G33" s="96">
        <f>5-1</f>
        <v>4</v>
      </c>
      <c r="H33" s="96">
        <f>E33/F33</f>
        <v>3.9999999999998967E-2</v>
      </c>
      <c r="I33" s="92">
        <v>1</v>
      </c>
      <c r="J33" s="96">
        <f>H33*I33</f>
        <v>3.9999999999998967E-2</v>
      </c>
      <c r="K33" s="96">
        <f>J33^2</f>
        <v>1.5999999999999175E-3</v>
      </c>
      <c r="L33" s="96">
        <f>J33^4/G33</f>
        <v>6.3999999999993394E-7</v>
      </c>
    </row>
    <row r="34" spans="2:12">
      <c r="B34" s="91" t="s">
        <v>110</v>
      </c>
      <c r="C34" s="92" t="s">
        <v>108</v>
      </c>
      <c r="D34" s="96" t="s">
        <v>109</v>
      </c>
      <c r="E34" s="96">
        <v>0</v>
      </c>
      <c r="F34" s="96">
        <v>2</v>
      </c>
      <c r="G34" s="96">
        <v>50</v>
      </c>
      <c r="H34" s="96">
        <f t="shared" ref="H34:H37" si="10">E34/F34</f>
        <v>0</v>
      </c>
      <c r="I34" s="92">
        <v>1</v>
      </c>
      <c r="J34" s="96">
        <f t="shared" ref="J34:J38" si="11">H34*I34</f>
        <v>0</v>
      </c>
      <c r="K34" s="96">
        <f t="shared" ref="K34:K38" si="12">J34^2</f>
        <v>0</v>
      </c>
      <c r="L34" s="96">
        <f t="shared" ref="L34:L37" si="13">J34^4/G34</f>
        <v>0</v>
      </c>
    </row>
    <row r="35" spans="2:12">
      <c r="B35" s="93" t="s">
        <v>111</v>
      </c>
      <c r="C35" s="92" t="s">
        <v>108</v>
      </c>
      <c r="D35" s="96" t="s">
        <v>112</v>
      </c>
      <c r="E35" s="96">
        <v>0</v>
      </c>
      <c r="F35" s="96">
        <f>SQRT(3)</f>
        <v>1.7320508075688772</v>
      </c>
      <c r="G35" s="96">
        <v>50</v>
      </c>
      <c r="H35" s="96">
        <f t="shared" si="10"/>
        <v>0</v>
      </c>
      <c r="I35" s="92">
        <v>1</v>
      </c>
      <c r="J35" s="96">
        <f t="shared" si="11"/>
        <v>0</v>
      </c>
      <c r="K35" s="96">
        <f t="shared" si="12"/>
        <v>0</v>
      </c>
      <c r="L35" s="96">
        <f t="shared" si="13"/>
        <v>0</v>
      </c>
    </row>
    <row r="36" spans="2:12">
      <c r="B36" s="93" t="s">
        <v>113</v>
      </c>
      <c r="C36" s="92" t="s">
        <v>108</v>
      </c>
      <c r="D36" s="96" t="s">
        <v>112</v>
      </c>
      <c r="E36" s="96">
        <v>0</v>
      </c>
      <c r="F36" s="96">
        <f t="shared" ref="F36:F38" si="14">SQRT(3)</f>
        <v>1.7320508075688772</v>
      </c>
      <c r="G36" s="96">
        <v>50</v>
      </c>
      <c r="H36" s="96">
        <f t="shared" si="10"/>
        <v>0</v>
      </c>
      <c r="I36" s="92">
        <v>1</v>
      </c>
      <c r="J36" s="96">
        <f t="shared" si="11"/>
        <v>0</v>
      </c>
      <c r="K36" s="96">
        <f t="shared" si="12"/>
        <v>0</v>
      </c>
      <c r="L36" s="96">
        <f t="shared" si="13"/>
        <v>0</v>
      </c>
    </row>
    <row r="37" spans="2:12">
      <c r="B37" s="91" t="s">
        <v>114</v>
      </c>
      <c r="C37" s="92" t="s">
        <v>108</v>
      </c>
      <c r="D37" s="96" t="s">
        <v>112</v>
      </c>
      <c r="E37" s="96">
        <v>0</v>
      </c>
      <c r="F37" s="96">
        <f t="shared" si="14"/>
        <v>1.7320508075688772</v>
      </c>
      <c r="G37" s="96">
        <v>50</v>
      </c>
      <c r="H37" s="96">
        <f t="shared" si="10"/>
        <v>0</v>
      </c>
      <c r="I37" s="92">
        <v>1</v>
      </c>
      <c r="J37" s="96">
        <f t="shared" si="11"/>
        <v>0</v>
      </c>
      <c r="K37" s="96">
        <f t="shared" si="12"/>
        <v>0</v>
      </c>
      <c r="L37" s="96">
        <f t="shared" si="13"/>
        <v>0</v>
      </c>
    </row>
    <row r="38" spans="2:12">
      <c r="B38" s="91" t="s">
        <v>115</v>
      </c>
      <c r="C38" s="92" t="s">
        <v>108</v>
      </c>
      <c r="D38" s="96" t="s">
        <v>112</v>
      </c>
      <c r="E38" s="96">
        <f>0.5*skorsing!$C$11</f>
        <v>0.05</v>
      </c>
      <c r="F38" s="96">
        <f t="shared" si="14"/>
        <v>1.7320508075688772</v>
      </c>
      <c r="G38" s="96">
        <v>50</v>
      </c>
      <c r="H38" s="96">
        <f>E38/F38</f>
        <v>2.8867513459481291E-2</v>
      </c>
      <c r="I38" s="92">
        <v>1</v>
      </c>
      <c r="J38" s="96">
        <f t="shared" si="11"/>
        <v>2.8867513459481291E-2</v>
      </c>
      <c r="K38" s="96">
        <f t="shared" si="12"/>
        <v>8.333333333333335E-4</v>
      </c>
      <c r="L38" s="96">
        <f>J38^4/G38</f>
        <v>1.3888888888888894E-8</v>
      </c>
    </row>
    <row r="39" spans="2:12">
      <c r="B39" s="266" t="s">
        <v>116</v>
      </c>
      <c r="C39" s="267"/>
      <c r="D39" s="267"/>
      <c r="E39" s="267"/>
      <c r="F39" s="267"/>
      <c r="G39" s="267"/>
      <c r="H39" s="267"/>
      <c r="I39" s="267"/>
      <c r="J39" s="268"/>
      <c r="K39" s="91">
        <f>SUM(K33:K38)</f>
        <v>2.433333333333251E-3</v>
      </c>
      <c r="L39" s="91">
        <f>SUM(L33:L38)</f>
        <v>6.5388888888882283E-7</v>
      </c>
    </row>
    <row r="40" spans="2:12">
      <c r="B40" s="266" t="s">
        <v>117</v>
      </c>
      <c r="C40" s="267"/>
      <c r="D40" s="267"/>
      <c r="E40" s="267"/>
      <c r="F40" s="267"/>
      <c r="G40" s="267"/>
      <c r="H40" s="267"/>
      <c r="I40" s="267"/>
      <c r="J40" s="268"/>
      <c r="K40" s="91">
        <f>SQRT(K39)</f>
        <v>4.9328828623161639E-2</v>
      </c>
      <c r="L40" s="90"/>
    </row>
    <row r="41" spans="2:12">
      <c r="B41" s="266" t="s">
        <v>118</v>
      </c>
      <c r="C41" s="267"/>
      <c r="D41" s="267"/>
      <c r="E41" s="267"/>
      <c r="F41" s="267"/>
      <c r="G41" s="267"/>
      <c r="H41" s="267"/>
      <c r="I41" s="267"/>
      <c r="J41" s="268"/>
      <c r="K41" s="91">
        <f>K40^4/L39</f>
        <v>9.0552251486833946</v>
      </c>
      <c r="L41" s="90"/>
    </row>
    <row r="42" spans="2:12">
      <c r="B42" s="266" t="s">
        <v>119</v>
      </c>
      <c r="C42" s="267"/>
      <c r="D42" s="267"/>
      <c r="E42" s="267"/>
      <c r="F42" s="267"/>
      <c r="G42" s="267"/>
      <c r="H42" s="267"/>
      <c r="I42" s="267"/>
      <c r="J42" s="268"/>
      <c r="K42" s="91">
        <f>TINV(0.05,K41)</f>
        <v>2.2621571627982053</v>
      </c>
      <c r="L42" s="90"/>
    </row>
    <row r="43" spans="2:12">
      <c r="B43" s="266" t="s">
        <v>120</v>
      </c>
      <c r="C43" s="267"/>
      <c r="D43" s="267"/>
      <c r="E43" s="267"/>
      <c r="F43" s="267"/>
      <c r="G43" s="267"/>
      <c r="H43" s="267"/>
      <c r="I43" s="267"/>
      <c r="J43" s="268"/>
      <c r="K43" s="94">
        <f>K42*K40</f>
        <v>0.11158956300233024</v>
      </c>
      <c r="L43" s="90"/>
    </row>
  </sheetData>
  <mergeCells count="16">
    <mergeCell ref="B15:J15"/>
    <mergeCell ref="B40:J40"/>
    <mergeCell ref="B41:J41"/>
    <mergeCell ref="B42:J42"/>
    <mergeCell ref="B43:J43"/>
    <mergeCell ref="B25:J25"/>
    <mergeCell ref="B26:J26"/>
    <mergeCell ref="B27:J27"/>
    <mergeCell ref="B28:J28"/>
    <mergeCell ref="B29:J29"/>
    <mergeCell ref="B39:J39"/>
    <mergeCell ref="B1:L1"/>
    <mergeCell ref="B11:J11"/>
    <mergeCell ref="B12:J12"/>
    <mergeCell ref="B13:J13"/>
    <mergeCell ref="B14:J1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A11E-B0E5-4C58-A483-6C680A50F217}">
  <dimension ref="B1:U53"/>
  <sheetViews>
    <sheetView topLeftCell="A10" zoomScale="115" zoomScaleNormal="115" workbookViewId="0">
      <selection activeCell="B30" sqref="B30:B31"/>
    </sheetView>
  </sheetViews>
  <sheetFormatPr defaultRowHeight="15"/>
  <cols>
    <col min="1" max="1" width="5.42578125" style="98" customWidth="1"/>
    <col min="2" max="2" width="17.140625" style="98" customWidth="1"/>
    <col min="3" max="3" width="17" style="98" customWidth="1"/>
    <col min="4" max="4" width="22" style="98" customWidth="1"/>
    <col min="5" max="5" width="21.85546875" style="98" customWidth="1"/>
    <col min="6" max="6" width="19" style="98" customWidth="1"/>
    <col min="7" max="7" width="18.42578125" style="98" bestFit="1" customWidth="1"/>
    <col min="8" max="8" width="10.140625" style="98" customWidth="1"/>
    <col min="9" max="9" width="15.28515625" style="98" customWidth="1"/>
    <col min="10" max="10" width="10.140625" style="98" customWidth="1"/>
    <col min="11" max="13" width="9.140625" style="98"/>
    <col min="14" max="14" width="15" style="98" customWidth="1"/>
    <col min="15" max="16384" width="9.140625" style="98"/>
  </cols>
  <sheetData>
    <row r="1" spans="2:11">
      <c r="B1" s="13"/>
      <c r="C1" s="13"/>
      <c r="D1" s="13"/>
      <c r="E1" s="13"/>
      <c r="F1" s="13"/>
      <c r="G1" s="13"/>
      <c r="H1" s="13"/>
      <c r="I1" s="13"/>
    </row>
    <row r="2" spans="2:11">
      <c r="B2" s="13"/>
      <c r="C2" s="181" t="s">
        <v>135</v>
      </c>
      <c r="D2" s="181"/>
      <c r="E2" s="181"/>
      <c r="F2" s="181"/>
      <c r="G2" s="181"/>
      <c r="H2" s="181"/>
      <c r="I2" s="55"/>
    </row>
    <row r="3" spans="2:11">
      <c r="B3" s="13"/>
      <c r="C3" s="54"/>
      <c r="D3" s="54"/>
      <c r="E3" s="54"/>
      <c r="F3" s="54"/>
      <c r="G3" s="14"/>
      <c r="H3" s="54"/>
      <c r="I3" s="54"/>
    </row>
    <row r="4" spans="2:11">
      <c r="B4" s="37" t="s">
        <v>43</v>
      </c>
      <c r="C4" s="1"/>
      <c r="D4" s="53"/>
      <c r="E4" s="53"/>
      <c r="F4" s="53"/>
      <c r="G4" s="53"/>
      <c r="H4" s="53"/>
      <c r="I4" s="53"/>
    </row>
    <row r="5" spans="2:11">
      <c r="B5" s="13"/>
      <c r="C5" s="15" t="s">
        <v>134</v>
      </c>
      <c r="D5" s="48" t="str">
        <f>skorsing!G6</f>
        <v>Klinik Asta Nugraha</v>
      </c>
      <c r="E5" s="15" t="s">
        <v>30</v>
      </c>
      <c r="F5" s="10">
        <f>skorsing!C11</f>
        <v>0.1</v>
      </c>
      <c r="G5" s="48" t="s">
        <v>45</v>
      </c>
      <c r="H5" s="53"/>
      <c r="I5" s="53"/>
    </row>
    <row r="6" spans="2:11">
      <c r="B6" s="13"/>
      <c r="C6" s="15" t="s">
        <v>40</v>
      </c>
      <c r="D6" s="48" t="str">
        <f>skorsing!C6</f>
        <v>Themometer Infrared</v>
      </c>
      <c r="E6" s="15" t="s">
        <v>133</v>
      </c>
      <c r="F6" s="269"/>
      <c r="G6" s="270"/>
    </row>
    <row r="7" spans="2:11">
      <c r="B7" s="13"/>
      <c r="C7" s="15"/>
      <c r="D7" s="48"/>
      <c r="E7" s="15" t="s">
        <v>132</v>
      </c>
      <c r="F7" s="271" t="str">
        <f>skorsing!G7</f>
        <v>Lab Presisi</v>
      </c>
      <c r="G7" s="272"/>
    </row>
    <row r="8" spans="2:11">
      <c r="B8" s="13"/>
      <c r="C8" s="15" t="s">
        <v>38</v>
      </c>
      <c r="D8" s="48" t="str">
        <f>skorsing!C7</f>
        <v>KARKNEE</v>
      </c>
      <c r="E8" s="13" t="s">
        <v>131</v>
      </c>
      <c r="F8" s="273">
        <f>skorsing!G8</f>
        <v>45880</v>
      </c>
      <c r="G8" s="272"/>
    </row>
    <row r="9" spans="2:11">
      <c r="B9" s="13"/>
      <c r="C9" s="15" t="s">
        <v>36</v>
      </c>
      <c r="D9" s="48" t="str">
        <f>skorsing!C8</f>
        <v>DT-8806C</v>
      </c>
      <c r="E9" s="15" t="s">
        <v>85</v>
      </c>
      <c r="F9" s="273">
        <f>skorsing!G9</f>
        <v>45884</v>
      </c>
      <c r="G9" s="272"/>
    </row>
    <row r="10" spans="2:11">
      <c r="B10" s="13"/>
      <c r="C10" s="15" t="s">
        <v>34</v>
      </c>
      <c r="D10" s="48" t="str">
        <f>skorsing!C9</f>
        <v>0595-5000</v>
      </c>
      <c r="E10" s="15" t="s">
        <v>130</v>
      </c>
      <c r="F10" s="273" t="str">
        <f>skorsing!G10</f>
        <v>Eliza Novianti</v>
      </c>
      <c r="G10" s="272"/>
    </row>
    <row r="11" spans="2:11">
      <c r="B11" s="13"/>
      <c r="C11" s="15"/>
      <c r="D11" s="47"/>
      <c r="E11" s="13"/>
      <c r="F11" s="13"/>
      <c r="G11" s="13"/>
      <c r="H11" s="13"/>
      <c r="I11" s="13"/>
      <c r="J11" s="15"/>
      <c r="K11" s="13"/>
    </row>
    <row r="12" spans="2:11">
      <c r="B12" s="13"/>
      <c r="C12" s="15"/>
      <c r="D12" s="47"/>
      <c r="E12" s="13"/>
      <c r="F12" s="15"/>
      <c r="G12" s="15"/>
      <c r="H12" s="46"/>
      <c r="I12" s="13"/>
      <c r="J12" s="15"/>
      <c r="K12" s="13"/>
    </row>
    <row r="13" spans="2:11">
      <c r="B13" s="16" t="s">
        <v>29</v>
      </c>
      <c r="C13" s="1"/>
      <c r="D13" s="14"/>
      <c r="E13" s="45"/>
      <c r="F13" s="28"/>
      <c r="G13" s="14"/>
      <c r="H13" s="13"/>
      <c r="I13" s="13"/>
      <c r="J13" s="15"/>
      <c r="K13" s="13"/>
    </row>
    <row r="14" spans="2:11">
      <c r="B14" s="124" t="s">
        <v>8</v>
      </c>
      <c r="C14" s="281" t="s">
        <v>28</v>
      </c>
      <c r="D14" s="282"/>
      <c r="E14" s="125" t="s">
        <v>27</v>
      </c>
      <c r="F14" s="124" t="s">
        <v>129</v>
      </c>
      <c r="G14" s="119" t="s">
        <v>25</v>
      </c>
      <c r="H14" s="13"/>
      <c r="I14" s="13"/>
    </row>
    <row r="15" spans="2:11">
      <c r="B15" s="42">
        <v>1</v>
      </c>
      <c r="C15" s="208" t="str">
        <f>skorsing!C16</f>
        <v>Black Body Liquid Calibration Source</v>
      </c>
      <c r="D15" s="209"/>
      <c r="E15" s="38" t="str">
        <f>skorsing!E16</f>
        <v>-</v>
      </c>
      <c r="F15" s="38" t="str">
        <f>skorsing!F16</f>
        <v>-</v>
      </c>
      <c r="G15" s="38" t="str">
        <f>skorsing!G16</f>
        <v>-</v>
      </c>
      <c r="H15" s="13"/>
      <c r="I15" s="13"/>
    </row>
    <row r="16" spans="2:11">
      <c r="B16" s="11">
        <v>2</v>
      </c>
      <c r="C16" s="208" t="str">
        <f>skorsing!C17</f>
        <v>Thermometer Refrence</v>
      </c>
      <c r="D16" s="209"/>
      <c r="E16" s="38" t="str">
        <f>skorsing!E17</f>
        <v>-</v>
      </c>
      <c r="F16" s="38" t="str">
        <f>skorsing!F17</f>
        <v>-</v>
      </c>
      <c r="G16" s="38" t="str">
        <f>skorsing!G17</f>
        <v>-</v>
      </c>
      <c r="H16" s="13"/>
      <c r="I16" s="13"/>
    </row>
    <row r="17" spans="2:9">
      <c r="B17" s="11">
        <v>3</v>
      </c>
      <c r="C17" s="208" t="str">
        <f>skorsing!C18</f>
        <v>Digital thermohygrometer</v>
      </c>
      <c r="D17" s="209"/>
      <c r="E17" s="38" t="str">
        <f>skorsing!E18</f>
        <v>Taffware</v>
      </c>
      <c r="F17" s="38" t="str">
        <f>skorsing!F18</f>
        <v>HTC-1</v>
      </c>
      <c r="G17" s="38" t="str">
        <f>skorsing!G18</f>
        <v>TH-01</v>
      </c>
      <c r="H17" s="13"/>
      <c r="I17" s="13"/>
    </row>
    <row r="18" spans="2:9">
      <c r="B18" s="13"/>
      <c r="C18" s="16"/>
      <c r="D18" s="14"/>
      <c r="E18" s="45"/>
      <c r="F18" s="28"/>
      <c r="G18" s="14"/>
      <c r="H18" s="13"/>
      <c r="I18" s="13"/>
    </row>
    <row r="19" spans="2:9">
      <c r="B19" s="37" t="s">
        <v>23</v>
      </c>
      <c r="C19" s="1"/>
      <c r="D19" s="13"/>
      <c r="E19" s="13"/>
      <c r="F19" s="13"/>
      <c r="G19" s="36"/>
      <c r="H19" s="13"/>
      <c r="I19" s="15"/>
    </row>
    <row r="20" spans="2:9">
      <c r="B20" s="123" t="s">
        <v>22</v>
      </c>
      <c r="C20" s="122" t="s">
        <v>69</v>
      </c>
      <c r="D20" s="122" t="s">
        <v>79</v>
      </c>
    </row>
    <row r="21" spans="2:9">
      <c r="B21" s="121" t="s">
        <v>19</v>
      </c>
      <c r="C21" s="84">
        <f>skorsing!G23</f>
        <v>21.464851367419733</v>
      </c>
      <c r="D21" s="84">
        <f>skorsing!I23</f>
        <v>0.5</v>
      </c>
    </row>
    <row r="22" spans="2:9">
      <c r="B22" s="10" t="s">
        <v>18</v>
      </c>
      <c r="C22" s="127">
        <f>skorsing!G24</f>
        <v>52.237454545454547</v>
      </c>
      <c r="D22" s="84">
        <f>skorsing!I24</f>
        <v>2.7</v>
      </c>
    </row>
    <row r="23" spans="2:9">
      <c r="B23" s="13"/>
      <c r="C23" s="14"/>
      <c r="D23" s="28"/>
      <c r="E23" s="14"/>
      <c r="F23" s="14"/>
      <c r="G23" s="14"/>
      <c r="H23" s="13"/>
      <c r="I23" s="13"/>
    </row>
    <row r="24" spans="2:9">
      <c r="B24" s="16" t="s">
        <v>17</v>
      </c>
      <c r="C24" s="1"/>
      <c r="D24" s="28"/>
      <c r="E24" s="14"/>
      <c r="F24" s="14"/>
      <c r="G24" s="14"/>
      <c r="H24" s="13"/>
      <c r="I24" s="13"/>
    </row>
    <row r="25" spans="2:9">
      <c r="B25" s="120" t="s">
        <v>16</v>
      </c>
      <c r="C25" s="283" t="s">
        <v>15</v>
      </c>
      <c r="D25" s="284"/>
      <c r="E25" s="285"/>
      <c r="F25" s="120" t="s">
        <v>14</v>
      </c>
      <c r="G25" s="13"/>
      <c r="H25" s="13"/>
    </row>
    <row r="26" spans="2:9" ht="15" customHeight="1">
      <c r="B26" s="274" t="str">
        <f>skorsing!B28</f>
        <v>Badan Permukaan</v>
      </c>
      <c r="C26" s="275" t="str">
        <f>skorsing!C28</f>
        <v>periksa bagian luar unit, pastikan bersih, terpasang ketat satu dan lainnya dan tidak ada bekas tertimpa cairan ataupun gangguan lainnya.</v>
      </c>
      <c r="D26" s="276"/>
      <c r="E26" s="277"/>
      <c r="F26" s="242" t="str">
        <f>IF([3]skorsing!F30=1,"BAIK","TIDAK BAIK")</f>
        <v>BAIK</v>
      </c>
      <c r="G26" s="13"/>
      <c r="H26" s="13"/>
    </row>
    <row r="27" spans="2:9">
      <c r="B27" s="274"/>
      <c r="C27" s="278"/>
      <c r="D27" s="279"/>
      <c r="E27" s="280"/>
      <c r="F27" s="242"/>
      <c r="G27" s="13"/>
      <c r="H27" s="13"/>
    </row>
    <row r="28" spans="2:9" ht="15" customHeight="1">
      <c r="B28" s="274" t="str">
        <f>skorsing!B32</f>
        <v>baterai</v>
      </c>
      <c r="C28" s="275" t="str">
        <f>skorsing!C32</f>
        <v>Pastikan baterai berfungsi dengan baik</v>
      </c>
      <c r="D28" s="276"/>
      <c r="E28" s="277"/>
      <c r="F28" s="242" t="str">
        <f>IF([3]skorsing!F34=1,"BAIK","TIDAK BAIK")</f>
        <v>BAIK</v>
      </c>
      <c r="G28" s="13"/>
      <c r="H28" s="13"/>
    </row>
    <row r="29" spans="2:9">
      <c r="B29" s="274"/>
      <c r="C29" s="278"/>
      <c r="D29" s="279"/>
      <c r="E29" s="280"/>
      <c r="F29" s="242"/>
      <c r="G29" s="13"/>
      <c r="H29" s="13"/>
    </row>
    <row r="30" spans="2:9" ht="15" customHeight="1">
      <c r="B30" s="274" t="str">
        <f>skorsing!B36</f>
        <v>tampilan dan indikator</v>
      </c>
      <c r="C30" s="275" t="str">
        <f>skorsing!C36</f>
        <v>selama pengecekan fungsi, pastikan tampilan indicator dan tampilan berfungsi seluruhnya, yakinkan bahwa tampilan digital berfungsi</v>
      </c>
      <c r="D30" s="276"/>
      <c r="E30" s="277"/>
      <c r="F30" s="242" t="str">
        <f>IF([3]skorsing!F38=1,"BAIK","TIDAK BAIK")</f>
        <v>BAIK</v>
      </c>
      <c r="G30" s="13"/>
      <c r="H30" s="13"/>
    </row>
    <row r="31" spans="2:9">
      <c r="B31" s="274"/>
      <c r="C31" s="278"/>
      <c r="D31" s="279"/>
      <c r="E31" s="280"/>
      <c r="F31" s="242"/>
      <c r="G31" s="13"/>
      <c r="H31" s="13"/>
    </row>
    <row r="32" spans="2:9">
      <c r="B32" s="28"/>
      <c r="C32" s="118"/>
      <c r="D32" s="117"/>
      <c r="E32" s="117"/>
      <c r="F32" s="117"/>
      <c r="G32" s="116"/>
      <c r="H32" s="13"/>
      <c r="I32" s="13"/>
    </row>
    <row r="33" spans="2:21">
      <c r="B33" s="28"/>
      <c r="C33" s="118"/>
      <c r="D33" s="117"/>
      <c r="E33" s="117"/>
      <c r="F33" s="117"/>
      <c r="G33" s="116"/>
      <c r="H33" s="13"/>
      <c r="I33" s="13"/>
    </row>
    <row r="34" spans="2:21">
      <c r="B34" s="114" t="s">
        <v>136</v>
      </c>
    </row>
    <row r="35" spans="2:21">
      <c r="B35" s="98" t="str">
        <f>skorsing!B39</f>
        <v xml:space="preserve">E. PENGUKURAN KINERJA ALAT </v>
      </c>
    </row>
    <row r="36" spans="2:21" ht="32.25">
      <c r="B36" s="8" t="s">
        <v>137</v>
      </c>
      <c r="C36" s="8" t="s">
        <v>138</v>
      </c>
      <c r="D36" s="115" t="s">
        <v>60</v>
      </c>
      <c r="E36" s="115" t="s">
        <v>70</v>
      </c>
      <c r="F36" s="115" t="s">
        <v>128</v>
      </c>
    </row>
    <row r="37" spans="2:21">
      <c r="B37" s="8">
        <f>skorsing!B50</f>
        <v>35</v>
      </c>
      <c r="C37" s="126">
        <f>skorsing!N50</f>
        <v>35.14</v>
      </c>
      <c r="D37" s="179">
        <f>skorsing!M50</f>
        <v>35.1</v>
      </c>
      <c r="E37" s="112">
        <f>skorsing!O50</f>
        <v>0.10000000000000142</v>
      </c>
      <c r="F37" s="112">
        <f>skorsing!R50</f>
        <v>9.3291191808184196E-2</v>
      </c>
    </row>
    <row r="38" spans="2:21">
      <c r="B38" s="8">
        <f>skorsing!B51</f>
        <v>37</v>
      </c>
      <c r="C38" s="126">
        <f>skorsing!N51</f>
        <v>37.06</v>
      </c>
      <c r="D38" s="179">
        <f>skorsing!M51</f>
        <v>37.166000000000011</v>
      </c>
      <c r="E38" s="112">
        <f>skorsing!O51</f>
        <v>0.16600000000001103</v>
      </c>
      <c r="F38" s="112">
        <f>skorsing!R51</f>
        <v>7.3952444012964941E-2</v>
      </c>
    </row>
    <row r="39" spans="2:21">
      <c r="B39" s="8">
        <f>skorsing!B52</f>
        <v>41</v>
      </c>
      <c r="C39" s="126">
        <f>skorsing!N52</f>
        <v>41.120000000000005</v>
      </c>
      <c r="D39" s="179">
        <f>skorsing!M52</f>
        <v>41.239999999999995</v>
      </c>
      <c r="E39" s="112">
        <f>skorsing!O52</f>
        <v>0.23999999999999488</v>
      </c>
      <c r="F39" s="112">
        <f>skorsing!R52</f>
        <v>0.11158956300233024</v>
      </c>
    </row>
    <row r="41" spans="2:21">
      <c r="B41" s="114"/>
      <c r="E41" s="113"/>
      <c r="J41" s="102"/>
      <c r="K41" s="102"/>
      <c r="L41" s="18"/>
      <c r="M41" s="106"/>
    </row>
    <row r="42" spans="2:21">
      <c r="B42" s="102" t="s">
        <v>127</v>
      </c>
      <c r="C42" s="102"/>
      <c r="D42" s="102"/>
      <c r="F42" s="102"/>
      <c r="G42" s="102"/>
      <c r="H42" s="102"/>
      <c r="I42" s="102"/>
      <c r="J42" s="102"/>
      <c r="K42" s="102"/>
      <c r="L42" s="18"/>
      <c r="M42" s="106"/>
      <c r="N42" s="106"/>
      <c r="O42" s="106"/>
      <c r="P42" s="106"/>
      <c r="Q42" s="106"/>
      <c r="R42" s="18"/>
      <c r="S42" s="18"/>
      <c r="T42" s="18"/>
      <c r="U42" s="18"/>
    </row>
    <row r="43" spans="2:21">
      <c r="B43" s="17" t="s">
        <v>139</v>
      </c>
      <c r="C43" s="111" t="s">
        <v>126</v>
      </c>
      <c r="D43" s="111"/>
      <c r="E43" s="111"/>
      <c r="F43" s="36" t="str">
        <f>IF(skorsing!I28&gt;=10,"Baik","Tidak Baik")</f>
        <v>Baik</v>
      </c>
      <c r="G43" s="14"/>
      <c r="H43" s="102"/>
      <c r="I43" s="102"/>
      <c r="K43" s="102"/>
      <c r="L43" s="18"/>
      <c r="M43" s="106"/>
      <c r="N43" s="106"/>
      <c r="O43" s="106"/>
      <c r="P43" s="106"/>
      <c r="Q43" s="106"/>
      <c r="R43" s="18"/>
      <c r="S43" s="18"/>
      <c r="T43" s="18"/>
      <c r="U43" s="18"/>
    </row>
    <row r="44" spans="2:21" ht="19.5">
      <c r="B44" s="17" t="s">
        <v>140</v>
      </c>
      <c r="C44" s="111" t="s">
        <v>125</v>
      </c>
      <c r="D44" s="110" t="str">
        <f>IF(skorsing!C54&gt;=70,"Alat Dinyatakan Laik Pakai","Alat Dinyatakan Tidak Laik Pakai")</f>
        <v>Alat Dinyatakan Laik Pakai</v>
      </c>
      <c r="E44" s="109"/>
      <c r="F44" s="108"/>
      <c r="G44" s="14"/>
      <c r="H44" s="99"/>
      <c r="I44" s="102"/>
      <c r="K44" s="102"/>
      <c r="L44" s="18"/>
      <c r="M44" s="106"/>
      <c r="N44" s="106"/>
      <c r="O44" s="106"/>
      <c r="P44" s="106"/>
      <c r="Q44" s="106"/>
      <c r="R44" s="18"/>
      <c r="S44" s="18"/>
      <c r="T44" s="18"/>
      <c r="U44" s="18"/>
    </row>
    <row r="45" spans="2:21">
      <c r="B45" s="17" t="s">
        <v>141</v>
      </c>
      <c r="C45" s="15" t="s">
        <v>124</v>
      </c>
      <c r="D45" s="107"/>
      <c r="E45" s="107"/>
      <c r="F45" s="107"/>
      <c r="G45" s="14"/>
      <c r="H45" s="99"/>
      <c r="I45" s="102"/>
      <c r="K45" s="102"/>
      <c r="L45" s="18"/>
      <c r="M45" s="106"/>
      <c r="N45" s="106"/>
      <c r="O45" s="106"/>
      <c r="P45" s="106"/>
      <c r="Q45" s="106"/>
      <c r="R45" s="18"/>
      <c r="S45" s="18"/>
      <c r="T45" s="18"/>
      <c r="U45" s="18"/>
    </row>
    <row r="46" spans="2:21">
      <c r="B46" s="13"/>
      <c r="C46" s="14"/>
      <c r="D46" s="14"/>
      <c r="E46" s="14"/>
      <c r="F46" s="14"/>
      <c r="G46" s="14"/>
      <c r="H46" s="99"/>
      <c r="I46" s="102"/>
      <c r="K46" s="102"/>
      <c r="L46" s="18"/>
      <c r="M46" s="106"/>
      <c r="N46" s="106"/>
      <c r="O46" s="106"/>
      <c r="P46" s="106"/>
      <c r="Q46" s="106"/>
      <c r="R46" s="18"/>
      <c r="S46" s="18"/>
      <c r="T46" s="18"/>
      <c r="U46" s="18"/>
    </row>
    <row r="47" spans="2:21">
      <c r="B47" s="13"/>
      <c r="C47" s="14"/>
      <c r="D47" s="14"/>
      <c r="E47" s="14"/>
      <c r="F47" s="14"/>
      <c r="G47" s="14"/>
      <c r="H47" s="99"/>
      <c r="I47" s="99"/>
      <c r="K47" s="102"/>
      <c r="L47" s="18"/>
      <c r="M47" s="106"/>
      <c r="N47" s="106"/>
      <c r="O47" s="106"/>
      <c r="P47" s="106"/>
      <c r="Q47" s="106"/>
      <c r="R47" s="18"/>
      <c r="S47" s="18"/>
      <c r="T47" s="18"/>
      <c r="U47" s="18"/>
    </row>
    <row r="48" spans="2:21" ht="14.25" customHeight="1">
      <c r="B48" s="13"/>
      <c r="C48" s="14"/>
      <c r="D48" s="14"/>
      <c r="E48" s="14"/>
      <c r="F48" s="14"/>
      <c r="G48" s="14"/>
      <c r="H48" s="99"/>
      <c r="I48" s="99"/>
      <c r="K48" s="102"/>
      <c r="N48" s="106"/>
      <c r="O48" s="106"/>
      <c r="P48" s="106"/>
      <c r="Q48" s="106"/>
      <c r="R48" s="18"/>
      <c r="S48" s="18"/>
      <c r="T48" s="18"/>
      <c r="U48" s="18"/>
    </row>
    <row r="49" spans="2:21" ht="14.25" customHeight="1">
      <c r="B49" s="13"/>
      <c r="C49" s="14"/>
      <c r="D49" s="14"/>
      <c r="E49" s="14"/>
      <c r="F49" s="14"/>
      <c r="G49" s="14"/>
      <c r="H49" s="99"/>
      <c r="I49" s="99"/>
      <c r="M49" s="105"/>
      <c r="N49" s="105"/>
      <c r="O49" s="105"/>
      <c r="P49" s="105"/>
      <c r="Q49" s="104"/>
      <c r="R49" s="100"/>
      <c r="S49" s="100"/>
      <c r="T49" s="18"/>
    </row>
    <row r="50" spans="2:21" ht="14.25" customHeight="1">
      <c r="B50" s="13"/>
      <c r="C50" s="14"/>
      <c r="D50" s="14"/>
      <c r="E50" s="14"/>
      <c r="F50" s="14"/>
      <c r="G50" s="14"/>
      <c r="H50" s="99"/>
      <c r="I50" s="99"/>
      <c r="M50" s="105"/>
      <c r="N50" s="105"/>
      <c r="O50" s="105"/>
      <c r="P50" s="105"/>
      <c r="Q50" s="104"/>
      <c r="R50" s="100"/>
      <c r="S50" s="100"/>
      <c r="T50" s="18"/>
    </row>
    <row r="51" spans="2:21" ht="14.25" customHeight="1">
      <c r="B51" s="13"/>
      <c r="C51" s="14"/>
      <c r="D51" s="14"/>
      <c r="E51" s="14"/>
      <c r="F51" s="14"/>
      <c r="G51" s="14"/>
      <c r="H51" s="103"/>
      <c r="I51" s="99"/>
      <c r="K51" s="102"/>
      <c r="N51" s="101"/>
      <c r="O51" s="101"/>
      <c r="P51" s="101"/>
      <c r="Q51" s="100"/>
      <c r="R51" s="100"/>
      <c r="S51" s="100"/>
      <c r="T51" s="100"/>
      <c r="U51" s="18"/>
    </row>
    <row r="52" spans="2:21">
      <c r="B52" s="13"/>
      <c r="C52" s="14"/>
      <c r="D52" s="14"/>
      <c r="E52" s="14"/>
      <c r="F52" s="14"/>
      <c r="G52" s="14"/>
      <c r="H52" s="99"/>
      <c r="I52" s="99"/>
    </row>
    <row r="53" spans="2:21">
      <c r="B53" s="13"/>
      <c r="C53" s="14"/>
      <c r="D53" s="14"/>
      <c r="E53" s="14"/>
      <c r="F53" s="14"/>
      <c r="G53" s="14"/>
    </row>
  </sheetData>
  <mergeCells count="20">
    <mergeCell ref="F30:F31"/>
    <mergeCell ref="B30:B31"/>
    <mergeCell ref="C30:E31"/>
    <mergeCell ref="F10:G10"/>
    <mergeCell ref="C15:D15"/>
    <mergeCell ref="C16:D16"/>
    <mergeCell ref="C14:D14"/>
    <mergeCell ref="C25:E25"/>
    <mergeCell ref="F28:F29"/>
    <mergeCell ref="B28:B29"/>
    <mergeCell ref="C28:E29"/>
    <mergeCell ref="F26:F27"/>
    <mergeCell ref="B26:B27"/>
    <mergeCell ref="C26:E27"/>
    <mergeCell ref="C2:H2"/>
    <mergeCell ref="F6:G6"/>
    <mergeCell ref="F7:G7"/>
    <mergeCell ref="F8:G8"/>
    <mergeCell ref="C17:D17"/>
    <mergeCell ref="F9:G9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8D2D-5489-45B7-A601-1CD2C5E61E27}">
  <dimension ref="A1:Y44"/>
  <sheetViews>
    <sheetView view="pageBreakPreview" topLeftCell="A19" zoomScaleNormal="100" zoomScaleSheetLayoutView="100" workbookViewId="0">
      <selection activeCell="AF33" sqref="AF33"/>
    </sheetView>
  </sheetViews>
  <sheetFormatPr defaultRowHeight="15"/>
  <cols>
    <col min="1" max="1" width="3.85546875" style="128" customWidth="1"/>
    <col min="2" max="2" width="4.7109375" style="128" customWidth="1"/>
    <col min="3" max="3" width="3.7109375" style="128" customWidth="1"/>
    <col min="4" max="5" width="4.28515625" style="128" customWidth="1"/>
    <col min="6" max="6" width="3.85546875" style="128" customWidth="1"/>
    <col min="7" max="7" width="3.7109375" style="128" customWidth="1"/>
    <col min="8" max="8" width="5.7109375" style="128" customWidth="1"/>
    <col min="9" max="9" width="4.85546875" style="128" customWidth="1"/>
    <col min="10" max="11" width="4.5703125" style="128" customWidth="1"/>
    <col min="12" max="12" width="5.140625" style="128" customWidth="1"/>
    <col min="13" max="13" width="5.42578125" style="128" customWidth="1"/>
    <col min="14" max="14" width="5" style="128" customWidth="1"/>
    <col min="15" max="15" width="4.7109375" style="128" customWidth="1"/>
    <col min="16" max="16" width="5" style="128" customWidth="1"/>
    <col min="17" max="17" width="5.7109375" style="128" customWidth="1"/>
    <col min="18" max="18" width="5.140625" style="128" customWidth="1"/>
    <col min="19" max="19" width="3.7109375" style="128" customWidth="1"/>
    <col min="20" max="20" width="9.5703125" style="128" hidden="1" customWidth="1"/>
    <col min="21" max="16384" width="9.140625" style="128"/>
  </cols>
  <sheetData>
    <row r="1" spans="1: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</row>
    <row r="2" spans="1:25">
      <c r="A2" s="147"/>
      <c r="B2" s="147"/>
      <c r="C2" s="147"/>
      <c r="D2" s="147"/>
      <c r="E2" s="147"/>
      <c r="F2" s="147"/>
      <c r="G2" s="147"/>
      <c r="H2" s="147"/>
      <c r="I2" s="147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3"/>
      <c r="U2" s="143"/>
      <c r="V2" s="143"/>
      <c r="W2" s="143"/>
      <c r="X2" s="143"/>
      <c r="Y2" s="143"/>
    </row>
    <row r="3" spans="1:25">
      <c r="A3" s="147"/>
      <c r="B3" s="147"/>
      <c r="C3" s="147"/>
      <c r="D3" s="147"/>
      <c r="E3" s="147"/>
      <c r="F3" s="147"/>
      <c r="G3" s="147"/>
      <c r="H3" s="147"/>
      <c r="I3" s="147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3"/>
      <c r="U3" s="143"/>
      <c r="V3" s="143"/>
      <c r="W3" s="143"/>
      <c r="X3" s="143"/>
      <c r="Y3" s="143"/>
    </row>
    <row r="4" spans="1:25">
      <c r="A4" s="147"/>
      <c r="B4" s="147"/>
      <c r="C4" s="147"/>
      <c r="D4" s="147"/>
      <c r="E4" s="147"/>
      <c r="F4" s="147"/>
      <c r="G4" s="147"/>
      <c r="H4" s="147"/>
      <c r="I4" s="147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3"/>
      <c r="U4" s="143"/>
      <c r="V4" s="143"/>
      <c r="W4" s="143"/>
      <c r="X4" s="143"/>
      <c r="Y4" s="143"/>
    </row>
    <row r="5" spans="1:25">
      <c r="A5" s="147"/>
      <c r="B5" s="147"/>
      <c r="C5" s="147"/>
      <c r="D5" s="147"/>
      <c r="E5" s="147"/>
      <c r="F5" s="147"/>
      <c r="G5" s="147"/>
      <c r="H5" s="147"/>
      <c r="I5" s="147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3"/>
      <c r="U5" s="143"/>
      <c r="V5" s="143"/>
      <c r="W5" s="143"/>
      <c r="X5" s="143"/>
      <c r="Y5" s="143"/>
    </row>
    <row r="6" spans="1:25" ht="15.75" thickBot="1">
      <c r="A6" s="145"/>
      <c r="B6" s="145"/>
      <c r="C6" s="145"/>
      <c r="D6" s="145"/>
      <c r="E6" s="145"/>
      <c r="F6" s="145"/>
      <c r="G6" s="145"/>
      <c r="H6" s="145"/>
      <c r="I6" s="145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3"/>
      <c r="U6" s="143"/>
      <c r="V6" s="143"/>
      <c r="W6" s="143"/>
      <c r="X6" s="143"/>
      <c r="Y6" s="143"/>
    </row>
    <row r="7" spans="1:25" ht="15.75" thickTop="1"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</row>
    <row r="8" spans="1:25" ht="15.75">
      <c r="L8" s="130" t="s">
        <v>169</v>
      </c>
      <c r="P8" s="128" t="s">
        <v>147</v>
      </c>
      <c r="Q8" s="286" t="str">
        <f>skorsing!C5</f>
        <v>S.248</v>
      </c>
      <c r="R8" s="286"/>
      <c r="S8" s="286"/>
    </row>
    <row r="9" spans="1:25">
      <c r="L9" s="135" t="s">
        <v>168</v>
      </c>
    </row>
    <row r="10" spans="1:25" ht="11.25" customHeight="1">
      <c r="L10" s="135"/>
    </row>
    <row r="11" spans="1:25" ht="21">
      <c r="A11" s="287" t="s">
        <v>167</v>
      </c>
      <c r="B11" s="287"/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</row>
    <row r="12" spans="1:25" ht="16.5" customHeight="1">
      <c r="A12" s="292" t="s">
        <v>166</v>
      </c>
      <c r="B12" s="292"/>
      <c r="C12" s="292"/>
      <c r="D12" s="292"/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</row>
    <row r="13" spans="1:25" ht="18.75">
      <c r="A13" s="130"/>
      <c r="B13" s="142" t="s">
        <v>165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</row>
    <row r="14" spans="1:25">
      <c r="B14" s="135" t="s">
        <v>164</v>
      </c>
    </row>
    <row r="15" spans="1:25" ht="15.75">
      <c r="A15" s="131"/>
      <c r="B15" s="141"/>
      <c r="C15" s="130" t="s">
        <v>28</v>
      </c>
      <c r="D15" s="141"/>
      <c r="F15" s="134" t="s">
        <v>147</v>
      </c>
      <c r="G15" s="128" t="str">
        <f>Laporan!D6</f>
        <v>Themometer Infrared</v>
      </c>
    </row>
    <row r="16" spans="1:25" ht="15.75">
      <c r="A16" s="130"/>
      <c r="B16" s="135"/>
      <c r="C16" s="129" t="s">
        <v>163</v>
      </c>
      <c r="F16" s="134"/>
    </row>
    <row r="17" spans="1:25" ht="15.75">
      <c r="A17" s="130"/>
      <c r="B17" s="140"/>
      <c r="C17" s="140" t="s">
        <v>27</v>
      </c>
      <c r="F17" s="134" t="s">
        <v>147</v>
      </c>
      <c r="G17" s="128" t="str">
        <f>Laporan!D8</f>
        <v>KARKNEE</v>
      </c>
    </row>
    <row r="18" spans="1:25" ht="15.75">
      <c r="A18" s="130"/>
      <c r="B18" s="129"/>
      <c r="C18" s="129" t="s">
        <v>162</v>
      </c>
      <c r="F18" s="134"/>
    </row>
    <row r="19" spans="1:25" ht="15.75">
      <c r="A19" s="130"/>
      <c r="B19" s="130"/>
      <c r="C19" s="130" t="s">
        <v>161</v>
      </c>
      <c r="F19" s="134" t="s">
        <v>147</v>
      </c>
      <c r="G19" s="128" t="str">
        <f>Laporan!D9</f>
        <v>DT-8806C</v>
      </c>
    </row>
    <row r="20" spans="1:25" ht="15.75">
      <c r="A20" s="130"/>
      <c r="B20" s="129"/>
      <c r="C20" s="129" t="s">
        <v>161</v>
      </c>
      <c r="F20" s="134"/>
    </row>
    <row r="21" spans="1:25" ht="15.75">
      <c r="A21" s="130"/>
      <c r="B21" s="130"/>
      <c r="C21" s="130" t="s">
        <v>160</v>
      </c>
      <c r="F21" s="134" t="s">
        <v>147</v>
      </c>
      <c r="G21" s="128" t="str">
        <f>Laporan!D10</f>
        <v>0595-5000</v>
      </c>
    </row>
    <row r="22" spans="1:25" ht="15.75">
      <c r="A22" s="130"/>
      <c r="B22" s="129"/>
      <c r="C22" s="129" t="s">
        <v>159</v>
      </c>
      <c r="F22" s="134"/>
    </row>
    <row r="23" spans="1:25" ht="15.75">
      <c r="A23" s="130"/>
      <c r="B23" s="130"/>
      <c r="C23" s="130" t="s">
        <v>158</v>
      </c>
      <c r="F23" s="134" t="s">
        <v>147</v>
      </c>
      <c r="G23" s="128">
        <f>Laporan!F5</f>
        <v>0.1</v>
      </c>
      <c r="H23" s="136" t="s">
        <v>45</v>
      </c>
      <c r="K23" s="136"/>
    </row>
    <row r="24" spans="1:25" ht="15.75">
      <c r="A24" s="130"/>
      <c r="B24" s="129"/>
      <c r="C24" s="129" t="s">
        <v>157</v>
      </c>
      <c r="H24" s="136"/>
    </row>
    <row r="25" spans="1:25" ht="15.75">
      <c r="A25" s="130"/>
      <c r="B25" s="130"/>
    </row>
    <row r="26" spans="1:25" ht="18.75">
      <c r="A26" s="130"/>
      <c r="B26" s="139" t="s">
        <v>156</v>
      </c>
    </row>
    <row r="27" spans="1:25" ht="15.75">
      <c r="A27" s="130"/>
      <c r="B27" s="135" t="s">
        <v>155</v>
      </c>
    </row>
    <row r="28" spans="1:25" ht="15.75">
      <c r="A28" s="130"/>
      <c r="B28" s="129"/>
      <c r="C28" s="130" t="s">
        <v>154</v>
      </c>
      <c r="F28" s="134" t="s">
        <v>147</v>
      </c>
      <c r="G28" s="128" t="str">
        <f>Laporan!D5</f>
        <v>Klinik Asta Nugraha</v>
      </c>
    </row>
    <row r="29" spans="1:25" ht="15.75">
      <c r="A29" s="130"/>
      <c r="B29" s="130"/>
      <c r="C29" s="135" t="s">
        <v>153</v>
      </c>
    </row>
    <row r="30" spans="1:25" ht="15.75">
      <c r="A30" s="130"/>
      <c r="B30" s="129"/>
      <c r="C30" s="130" t="s">
        <v>152</v>
      </c>
      <c r="F30" s="134" t="s">
        <v>147</v>
      </c>
      <c r="G30" s="294" t="s">
        <v>258</v>
      </c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W30" s="138"/>
      <c r="X30" s="138"/>
      <c r="Y30" s="138"/>
    </row>
    <row r="31" spans="1:25" ht="15.75">
      <c r="A31" s="130"/>
      <c r="B31" s="130"/>
      <c r="C31" s="135" t="s">
        <v>151</v>
      </c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W31" s="138"/>
      <c r="X31" s="138"/>
      <c r="Y31" s="138"/>
    </row>
    <row r="32" spans="1:25" ht="15.75">
      <c r="A32" s="131"/>
      <c r="B32" s="131"/>
    </row>
    <row r="33" spans="1:17" ht="15.75">
      <c r="A33" s="130"/>
      <c r="B33" s="137"/>
      <c r="C33" s="130"/>
      <c r="I33" s="130" t="s">
        <v>150</v>
      </c>
      <c r="N33" s="134" t="s">
        <v>147</v>
      </c>
      <c r="O33" s="136" t="s">
        <v>259</v>
      </c>
    </row>
    <row r="34" spans="1:17" ht="15.75">
      <c r="A34" s="130"/>
      <c r="C34" s="129"/>
      <c r="I34" s="135" t="s">
        <v>149</v>
      </c>
      <c r="N34" s="134"/>
    </row>
    <row r="35" spans="1:17" ht="15.75">
      <c r="A35" s="130"/>
      <c r="C35" s="130"/>
      <c r="I35" s="130" t="s">
        <v>148</v>
      </c>
      <c r="N35" s="134" t="s">
        <v>147</v>
      </c>
      <c r="O35" s="293">
        <v>45889</v>
      </c>
      <c r="P35" s="293"/>
      <c r="Q35" s="293"/>
    </row>
    <row r="36" spans="1:17" ht="15.75">
      <c r="A36" s="130"/>
      <c r="C36" s="129"/>
      <c r="I36" s="133" t="s">
        <v>146</v>
      </c>
    </row>
    <row r="37" spans="1:17" ht="15.75">
      <c r="A37" s="130"/>
      <c r="C37" s="130"/>
    </row>
    <row r="38" spans="1:17" ht="15.75">
      <c r="A38" s="130"/>
      <c r="C38" s="129"/>
      <c r="K38" s="291" t="s">
        <v>145</v>
      </c>
      <c r="L38" s="291"/>
      <c r="M38" s="291"/>
      <c r="N38" s="291"/>
      <c r="O38" s="291"/>
    </row>
    <row r="39" spans="1:17" ht="15.75">
      <c r="A39" s="130"/>
      <c r="C39" s="129"/>
    </row>
    <row r="40" spans="1:17" ht="15.75">
      <c r="A40" s="130"/>
      <c r="C40" s="132"/>
    </row>
    <row r="41" spans="1:17" ht="15.75">
      <c r="A41" s="130"/>
      <c r="C41" s="132"/>
    </row>
    <row r="42" spans="1:17" ht="15.75">
      <c r="A42" s="130"/>
      <c r="C42" s="132"/>
      <c r="K42" s="288" t="s">
        <v>144</v>
      </c>
      <c r="L42" s="288"/>
      <c r="M42" s="288"/>
      <c r="N42" s="288"/>
      <c r="O42" s="288"/>
    </row>
    <row r="43" spans="1:17" ht="15.75">
      <c r="A43" s="131"/>
      <c r="B43" s="131"/>
      <c r="K43" s="289" t="s">
        <v>143</v>
      </c>
      <c r="L43" s="289"/>
      <c r="M43" s="289"/>
      <c r="N43" s="289"/>
      <c r="O43" s="289"/>
    </row>
    <row r="44" spans="1:17" ht="15.75">
      <c r="A44" s="130"/>
      <c r="B44" s="129"/>
      <c r="K44" s="290" t="s">
        <v>142</v>
      </c>
      <c r="L44" s="290"/>
      <c r="M44" s="290"/>
      <c r="N44" s="290"/>
      <c r="O44" s="290"/>
    </row>
  </sheetData>
  <mergeCells count="9">
    <mergeCell ref="Q8:S8"/>
    <mergeCell ref="A11:S11"/>
    <mergeCell ref="K42:O42"/>
    <mergeCell ref="K43:O43"/>
    <mergeCell ref="K44:O44"/>
    <mergeCell ref="K38:O38"/>
    <mergeCell ref="A12:S12"/>
    <mergeCell ref="O35:Q35"/>
    <mergeCell ref="G30:R31"/>
  </mergeCells>
  <pageMargins left="0.70866141732283472" right="0.70866141732283472" top="0.74803149606299213" bottom="0.74803149606299213" header="0.31496062992125984" footer="0.31496062992125984"/>
  <pageSetup orientation="portrait" horizontalDpi="360" verticalDpi="360" r:id="rId1"/>
  <headerFooter>
    <oddHeader>&amp;C
&amp;G</oddHeader>
    <oddFooter xml:space="preserve">&amp;R
halaman 1 dari 4
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B9F7-935E-41BE-A25E-6073131AA2AA}">
  <dimension ref="A1:AD109"/>
  <sheetViews>
    <sheetView view="pageBreakPreview" topLeftCell="A43" zoomScaleNormal="100" zoomScaleSheetLayoutView="100" workbookViewId="0">
      <selection activeCell="Y104" sqref="Y104"/>
    </sheetView>
  </sheetViews>
  <sheetFormatPr defaultRowHeight="15"/>
  <cols>
    <col min="1" max="1" width="3.85546875" style="128" customWidth="1"/>
    <col min="2" max="2" width="4.7109375" style="128" customWidth="1"/>
    <col min="3" max="3" width="3.7109375" style="128" customWidth="1"/>
    <col min="4" max="5" width="4.28515625" style="128" customWidth="1"/>
    <col min="6" max="6" width="3.85546875" style="128" customWidth="1"/>
    <col min="7" max="7" width="7.42578125" style="128" customWidth="1"/>
    <col min="8" max="8" width="5.7109375" style="128" customWidth="1"/>
    <col min="9" max="9" width="6.140625" style="128" customWidth="1"/>
    <col min="10" max="11" width="4.5703125" style="128" customWidth="1"/>
    <col min="12" max="12" width="5.140625" style="128" customWidth="1"/>
    <col min="13" max="13" width="5.42578125" style="128" customWidth="1"/>
    <col min="14" max="14" width="5" style="128" customWidth="1"/>
    <col min="15" max="15" width="4.7109375" style="128" customWidth="1"/>
    <col min="16" max="16" width="5" style="128" customWidth="1"/>
    <col min="17" max="17" width="5.7109375" style="128" customWidth="1"/>
    <col min="18" max="18" width="5.85546875" style="128" customWidth="1"/>
    <col min="19" max="19" width="3.7109375" style="128" customWidth="1"/>
    <col min="20" max="20" width="9.5703125" style="128" hidden="1" customWidth="1"/>
    <col min="21" max="16384" width="9.140625" style="128"/>
  </cols>
  <sheetData>
    <row r="1" spans="1: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</row>
    <row r="2" spans="1:25">
      <c r="A2" s="147"/>
      <c r="B2" s="147"/>
      <c r="C2" s="147"/>
      <c r="D2" s="147"/>
      <c r="E2" s="147"/>
      <c r="F2" s="147"/>
      <c r="G2" s="147"/>
      <c r="H2" s="147"/>
      <c r="I2" s="147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3"/>
      <c r="U2" s="143"/>
      <c r="V2" s="143"/>
      <c r="W2" s="143"/>
      <c r="X2" s="143"/>
      <c r="Y2" s="143"/>
    </row>
    <row r="3" spans="1:25">
      <c r="A3" s="147"/>
      <c r="B3" s="147"/>
      <c r="C3" s="147"/>
      <c r="D3" s="147"/>
      <c r="E3" s="147"/>
      <c r="F3" s="147"/>
      <c r="G3" s="147"/>
      <c r="H3" s="147"/>
      <c r="I3" s="147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3"/>
      <c r="U3" s="143"/>
      <c r="V3" s="143"/>
      <c r="W3" s="143"/>
      <c r="X3" s="143"/>
      <c r="Y3" s="143"/>
    </row>
    <row r="4" spans="1:25">
      <c r="A4" s="147"/>
      <c r="B4" s="147"/>
      <c r="C4" s="147"/>
      <c r="D4" s="147"/>
      <c r="E4" s="147"/>
      <c r="F4" s="147"/>
      <c r="G4" s="147"/>
      <c r="H4" s="147"/>
      <c r="I4" s="147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3"/>
      <c r="U4" s="143"/>
      <c r="V4" s="143"/>
      <c r="W4" s="143"/>
      <c r="X4" s="143"/>
      <c r="Y4" s="143"/>
    </row>
    <row r="5" spans="1:25">
      <c r="A5" s="147"/>
      <c r="B5" s="147"/>
      <c r="C5" s="147"/>
      <c r="D5" s="147"/>
      <c r="E5" s="147"/>
      <c r="F5" s="147"/>
      <c r="G5" s="147"/>
      <c r="H5" s="147"/>
      <c r="I5" s="147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3"/>
      <c r="U5" s="143"/>
      <c r="V5" s="143"/>
      <c r="W5" s="143"/>
      <c r="X5" s="143"/>
      <c r="Y5" s="143"/>
    </row>
    <row r="6" spans="1:25" ht="15.75" thickBot="1">
      <c r="A6" s="145"/>
      <c r="B6" s="145"/>
      <c r="C6" s="145"/>
      <c r="D6" s="145"/>
      <c r="E6" s="145"/>
      <c r="F6" s="145"/>
      <c r="G6" s="145"/>
      <c r="H6" s="145"/>
      <c r="I6" s="145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3"/>
      <c r="U6" s="143"/>
      <c r="V6" s="143"/>
      <c r="W6" s="143"/>
      <c r="X6" s="143"/>
      <c r="Y6" s="143"/>
    </row>
    <row r="7" spans="1:25" ht="15.75" thickTop="1"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</row>
    <row r="8" spans="1:25" ht="15.75">
      <c r="L8" s="130" t="s">
        <v>169</v>
      </c>
      <c r="P8" s="128" t="s">
        <v>147</v>
      </c>
      <c r="Q8" s="286" t="str">
        <f>Cover!Q8</f>
        <v>S.248</v>
      </c>
      <c r="R8" s="286"/>
      <c r="S8" s="286"/>
    </row>
    <row r="9" spans="1:25">
      <c r="L9" s="135" t="s">
        <v>168</v>
      </c>
    </row>
    <row r="10" spans="1:25">
      <c r="L10" s="135"/>
    </row>
    <row r="12" spans="1:25" ht="21">
      <c r="A12" s="287" t="s">
        <v>238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</row>
    <row r="13" spans="1:25">
      <c r="A13" s="335" t="s">
        <v>237</v>
      </c>
      <c r="B13" s="335"/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</row>
    <row r="14" spans="1:25" ht="15.75">
      <c r="A14" s="289" t="str">
        <f>Laporan!D6</f>
        <v>Themometer Infrared</v>
      </c>
      <c r="B14" s="289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89"/>
      <c r="N14" s="289"/>
      <c r="O14" s="289"/>
      <c r="P14" s="289"/>
      <c r="Q14" s="289"/>
      <c r="R14" s="289"/>
      <c r="S14" s="289"/>
    </row>
    <row r="16" spans="1:25" ht="15.75">
      <c r="A16" s="131" t="s">
        <v>236</v>
      </c>
      <c r="B16" s="141" t="s">
        <v>235</v>
      </c>
      <c r="C16" s="141"/>
      <c r="D16" s="141"/>
    </row>
    <row r="17" spans="1:25" ht="15.75">
      <c r="A17" s="130"/>
      <c r="B17" s="135" t="s">
        <v>234</v>
      </c>
    </row>
    <row r="18" spans="1:25" ht="15.75">
      <c r="A18" s="130"/>
      <c r="B18" s="140" t="s">
        <v>27</v>
      </c>
      <c r="I18" s="134" t="s">
        <v>147</v>
      </c>
      <c r="J18" s="338" t="str">
        <f>Laporan!D8</f>
        <v>KARKNEE</v>
      </c>
      <c r="K18" s="338"/>
      <c r="L18" s="338"/>
    </row>
    <row r="19" spans="1:25" ht="15.75">
      <c r="A19" s="130"/>
      <c r="B19" s="129" t="s">
        <v>162</v>
      </c>
      <c r="I19" s="134"/>
      <c r="J19" s="163"/>
    </row>
    <row r="20" spans="1:25" ht="15.75">
      <c r="A20" s="130"/>
      <c r="B20" s="130" t="s">
        <v>161</v>
      </c>
      <c r="I20" s="134" t="s">
        <v>147</v>
      </c>
      <c r="J20" s="163" t="str">
        <f>Laporan!D9</f>
        <v>DT-8806C</v>
      </c>
    </row>
    <row r="21" spans="1:25" ht="15.75">
      <c r="A21" s="130"/>
      <c r="B21" s="129" t="s">
        <v>161</v>
      </c>
      <c r="I21" s="134"/>
      <c r="J21" s="163"/>
    </row>
    <row r="22" spans="1:25" ht="15.75">
      <c r="A22" s="130"/>
      <c r="B22" s="130" t="s">
        <v>160</v>
      </c>
      <c r="I22" s="134" t="s">
        <v>147</v>
      </c>
      <c r="J22" s="164" t="str">
        <f>Laporan!D10</f>
        <v>0595-5000</v>
      </c>
    </row>
    <row r="23" spans="1:25" ht="15.75">
      <c r="A23" s="130"/>
      <c r="B23" s="129" t="s">
        <v>159</v>
      </c>
      <c r="I23" s="134"/>
      <c r="J23" s="163"/>
    </row>
    <row r="24" spans="1:25" ht="15.75">
      <c r="A24" s="130"/>
      <c r="B24" s="130" t="s">
        <v>158</v>
      </c>
      <c r="I24" s="134" t="s">
        <v>147</v>
      </c>
      <c r="J24" s="163">
        <f>Laporan!F5</f>
        <v>0.1</v>
      </c>
      <c r="K24" s="165" t="s">
        <v>45</v>
      </c>
      <c r="M24" s="163"/>
      <c r="N24" s="136"/>
    </row>
    <row r="25" spans="1:25" ht="15.75">
      <c r="A25" s="130"/>
      <c r="B25" s="129" t="s">
        <v>157</v>
      </c>
      <c r="I25" s="134"/>
    </row>
    <row r="26" spans="1:25" ht="15.75">
      <c r="A26" s="130"/>
      <c r="B26" s="130" t="s">
        <v>233</v>
      </c>
      <c r="I26" s="134" t="s">
        <v>147</v>
      </c>
      <c r="J26" s="163" t="str">
        <f>Laporan!F7</f>
        <v>Lab Presisi</v>
      </c>
    </row>
    <row r="27" spans="1:25" ht="15.75">
      <c r="A27" s="130"/>
      <c r="B27" s="129" t="s">
        <v>232</v>
      </c>
      <c r="I27" s="134"/>
    </row>
    <row r="28" spans="1:25" ht="15.75">
      <c r="A28" s="130"/>
      <c r="B28" s="130" t="s">
        <v>231</v>
      </c>
      <c r="I28" s="134" t="s">
        <v>147</v>
      </c>
      <c r="J28" s="339">
        <f>Laporan!F8</f>
        <v>45880</v>
      </c>
      <c r="K28" s="339"/>
      <c r="L28" s="339"/>
      <c r="M28" s="339"/>
    </row>
    <row r="29" spans="1:25" ht="15.75">
      <c r="A29" s="130"/>
      <c r="B29" s="129" t="s">
        <v>230</v>
      </c>
      <c r="I29" s="134"/>
      <c r="J29" s="162"/>
      <c r="K29" s="162"/>
      <c r="L29" s="162"/>
      <c r="M29" s="162"/>
    </row>
    <row r="30" spans="1:25" ht="15.75">
      <c r="A30" s="130"/>
      <c r="B30" s="130" t="s">
        <v>73</v>
      </c>
      <c r="I30" s="134" t="s">
        <v>147</v>
      </c>
      <c r="J30" s="339">
        <f>Laporan!F9</f>
        <v>45884</v>
      </c>
      <c r="K30" s="339"/>
      <c r="L30" s="339"/>
      <c r="M30" s="339"/>
    </row>
    <row r="31" spans="1:25" ht="15.75">
      <c r="A31" s="130"/>
      <c r="B31" s="129" t="s">
        <v>229</v>
      </c>
      <c r="I31" s="134"/>
      <c r="J31" s="162"/>
      <c r="K31" s="162"/>
      <c r="L31" s="162"/>
      <c r="M31" s="162"/>
      <c r="W31" s="138"/>
      <c r="X31" s="138"/>
      <c r="Y31" s="138"/>
    </row>
    <row r="32" spans="1:25" ht="15.75">
      <c r="A32" s="130"/>
      <c r="B32" s="130" t="s">
        <v>228</v>
      </c>
      <c r="I32" s="134" t="s">
        <v>147</v>
      </c>
      <c r="J32" s="340">
        <v>46249</v>
      </c>
      <c r="K32" s="339"/>
      <c r="L32" s="339"/>
      <c r="M32" s="339"/>
      <c r="W32" s="138"/>
      <c r="X32" s="138"/>
      <c r="Y32" s="138"/>
    </row>
    <row r="33" spans="1:25" ht="16.5" thickBot="1">
      <c r="A33" s="161"/>
      <c r="B33" s="160" t="s">
        <v>227</v>
      </c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W33" s="138"/>
      <c r="X33" s="138"/>
      <c r="Y33" s="138"/>
    </row>
    <row r="34" spans="1:25" ht="15.75">
      <c r="A34" s="130"/>
    </row>
    <row r="35" spans="1:25" ht="15.75">
      <c r="A35" s="131" t="s">
        <v>226</v>
      </c>
      <c r="B35" s="131" t="s">
        <v>225</v>
      </c>
    </row>
    <row r="36" spans="1:25" ht="15.75">
      <c r="A36" s="130"/>
      <c r="B36" s="129" t="s">
        <v>224</v>
      </c>
    </row>
    <row r="37" spans="1:25" ht="15.75">
      <c r="A37" s="130"/>
      <c r="B37" s="137">
        <v>1</v>
      </c>
      <c r="C37" s="130" t="s">
        <v>223</v>
      </c>
      <c r="I37" s="134" t="s">
        <v>147</v>
      </c>
      <c r="J37" s="158" t="s">
        <v>219</v>
      </c>
      <c r="K37" s="157">
        <f>Laporan!C21</f>
        <v>21.464851367419733</v>
      </c>
      <c r="L37" s="155" t="s">
        <v>218</v>
      </c>
      <c r="M37" s="134">
        <f>Laporan!D21</f>
        <v>0.5</v>
      </c>
      <c r="N37" s="157" t="s">
        <v>222</v>
      </c>
    </row>
    <row r="38" spans="1:25" ht="15.75">
      <c r="A38" s="130"/>
      <c r="B38" s="134"/>
      <c r="C38" s="129" t="s">
        <v>221</v>
      </c>
      <c r="I38" s="134"/>
      <c r="L38" s="134"/>
      <c r="M38" s="134"/>
    </row>
    <row r="39" spans="1:25" ht="15.75">
      <c r="A39" s="130"/>
      <c r="B39" s="134">
        <v>2</v>
      </c>
      <c r="C39" s="130" t="s">
        <v>220</v>
      </c>
      <c r="I39" s="134" t="s">
        <v>147</v>
      </c>
      <c r="J39" s="156" t="s">
        <v>219</v>
      </c>
      <c r="K39" s="134">
        <f>Laporan!C22</f>
        <v>52.237454545454547</v>
      </c>
      <c r="L39" s="155" t="s">
        <v>218</v>
      </c>
      <c r="M39" s="134">
        <f>Laporan!D22</f>
        <v>2.7</v>
      </c>
      <c r="N39" s="128" t="s">
        <v>217</v>
      </c>
    </row>
    <row r="40" spans="1:25" ht="15.75">
      <c r="A40" s="130"/>
      <c r="C40" s="129" t="s">
        <v>216</v>
      </c>
      <c r="I40" s="134"/>
    </row>
    <row r="41" spans="1:25" ht="15.75">
      <c r="A41" s="130"/>
      <c r="C41" s="129"/>
      <c r="I41" s="134"/>
    </row>
    <row r="42" spans="1:25" ht="15.75">
      <c r="A42" s="130"/>
      <c r="C42" s="129"/>
      <c r="I42" s="134"/>
    </row>
    <row r="43" spans="1:25" ht="15.75">
      <c r="A43" s="130"/>
      <c r="C43" s="132"/>
    </row>
    <row r="44" spans="1:25" ht="15.75">
      <c r="A44" s="130"/>
      <c r="C44" s="132"/>
    </row>
    <row r="45" spans="1:25" ht="15.75">
      <c r="A45" s="130"/>
      <c r="C45" s="132"/>
    </row>
    <row r="46" spans="1:25" ht="15.75">
      <c r="A46" s="131" t="s">
        <v>215</v>
      </c>
      <c r="B46" s="131" t="s">
        <v>214</v>
      </c>
    </row>
    <row r="47" spans="1:25" ht="15.75">
      <c r="A47" s="130"/>
      <c r="B47" s="129" t="s">
        <v>213</v>
      </c>
    </row>
    <row r="48" spans="1:25" ht="15.75">
      <c r="A48" s="130"/>
      <c r="B48" s="151">
        <v>1</v>
      </c>
      <c r="C48" s="130" t="s">
        <v>212</v>
      </c>
      <c r="I48" s="134" t="s">
        <v>147</v>
      </c>
      <c r="J48" s="128" t="str">
        <f>Laporan!F43</f>
        <v>Baik</v>
      </c>
      <c r="K48" s="154" t="s">
        <v>209</v>
      </c>
      <c r="L48" s="153" t="s">
        <v>208</v>
      </c>
    </row>
    <row r="49" spans="1:22" ht="15.75">
      <c r="A49" s="130"/>
      <c r="B49" s="134"/>
      <c r="C49" s="129" t="s">
        <v>211</v>
      </c>
      <c r="I49" s="134"/>
    </row>
    <row r="50" spans="1:22" ht="15.75">
      <c r="A50" s="130"/>
      <c r="B50" s="151">
        <v>2</v>
      </c>
      <c r="C50" s="130" t="s">
        <v>210</v>
      </c>
      <c r="I50" s="134" t="s">
        <v>147</v>
      </c>
      <c r="J50" s="128" t="str">
        <f>J48</f>
        <v>Baik</v>
      </c>
      <c r="K50" s="154" t="s">
        <v>209</v>
      </c>
      <c r="L50" s="153" t="s">
        <v>208</v>
      </c>
    </row>
    <row r="51" spans="1:22" ht="15.75">
      <c r="A51" s="130"/>
      <c r="C51" s="129" t="s">
        <v>207</v>
      </c>
    </row>
    <row r="52" spans="1:22" ht="15.75">
      <c r="A52" s="130"/>
      <c r="C52" s="132"/>
    </row>
    <row r="53" spans="1:22" ht="15.75">
      <c r="A53" s="131" t="s">
        <v>206</v>
      </c>
      <c r="B53" s="131" t="s">
        <v>205</v>
      </c>
    </row>
    <row r="54" spans="1:22" ht="15.75">
      <c r="A54" s="130"/>
      <c r="B54" s="129" t="s">
        <v>204</v>
      </c>
    </row>
    <row r="55" spans="1:22" ht="15.75">
      <c r="A55" s="130"/>
      <c r="B55" s="336" t="s">
        <v>28</v>
      </c>
      <c r="C55" s="337"/>
      <c r="D55" s="337"/>
      <c r="E55" s="337"/>
      <c r="F55" s="337"/>
      <c r="G55" s="337"/>
      <c r="H55" s="336" t="s">
        <v>27</v>
      </c>
      <c r="I55" s="337"/>
      <c r="J55" s="337"/>
      <c r="K55" s="337"/>
      <c r="L55" s="336" t="s">
        <v>202</v>
      </c>
      <c r="M55" s="337"/>
      <c r="N55" s="337"/>
      <c r="O55" s="336" t="s">
        <v>160</v>
      </c>
      <c r="P55" s="337"/>
      <c r="Q55" s="337"/>
      <c r="R55" s="341"/>
    </row>
    <row r="56" spans="1:22" ht="15.75">
      <c r="A56" s="130"/>
      <c r="B56" s="342" t="s">
        <v>203</v>
      </c>
      <c r="C56" s="343"/>
      <c r="D56" s="343"/>
      <c r="E56" s="343"/>
      <c r="F56" s="343"/>
      <c r="G56" s="343"/>
      <c r="H56" s="342" t="s">
        <v>162</v>
      </c>
      <c r="I56" s="343"/>
      <c r="J56" s="343"/>
      <c r="K56" s="343"/>
      <c r="L56" s="342" t="s">
        <v>202</v>
      </c>
      <c r="M56" s="343"/>
      <c r="N56" s="343"/>
      <c r="O56" s="342" t="s">
        <v>159</v>
      </c>
      <c r="P56" s="343"/>
      <c r="Q56" s="343"/>
      <c r="R56" s="344"/>
    </row>
    <row r="57" spans="1:22" ht="28.5" customHeight="1">
      <c r="A57" s="130"/>
      <c r="B57" s="358" t="str">
        <f>Laporan!C15</f>
        <v>Black Body Liquid Calibration Source</v>
      </c>
      <c r="C57" s="359"/>
      <c r="D57" s="359"/>
      <c r="E57" s="359"/>
      <c r="F57" s="359"/>
      <c r="G57" s="360"/>
      <c r="H57" s="361" t="str">
        <f>Laporan!E15</f>
        <v>-</v>
      </c>
      <c r="I57" s="362"/>
      <c r="J57" s="362"/>
      <c r="K57" s="363"/>
      <c r="L57" s="304" t="s">
        <v>254</v>
      </c>
      <c r="M57" s="305"/>
      <c r="N57" s="306"/>
      <c r="O57" s="304" t="str">
        <f>Laporan!G15</f>
        <v>-</v>
      </c>
      <c r="P57" s="305"/>
      <c r="Q57" s="305"/>
      <c r="R57" s="306"/>
    </row>
    <row r="58" spans="1:22" ht="15.75">
      <c r="A58" s="130"/>
      <c r="B58" s="319" t="str">
        <f>Laporan!C16</f>
        <v>Thermometer Refrence</v>
      </c>
      <c r="C58" s="320"/>
      <c r="D58" s="320"/>
      <c r="E58" s="320"/>
      <c r="F58" s="320"/>
      <c r="G58" s="321"/>
      <c r="H58" s="307" t="str">
        <f>Laporan!E16</f>
        <v>-</v>
      </c>
      <c r="I58" s="308"/>
      <c r="J58" s="308"/>
      <c r="K58" s="309"/>
      <c r="L58" s="307" t="str">
        <f>Laporan!F16</f>
        <v>-</v>
      </c>
      <c r="M58" s="308"/>
      <c r="N58" s="309"/>
      <c r="O58" s="315" t="str">
        <f>Laporan!G16</f>
        <v>-</v>
      </c>
      <c r="P58" s="316"/>
      <c r="Q58" s="316"/>
      <c r="R58" s="317"/>
    </row>
    <row r="59" spans="1:22" ht="15.75">
      <c r="A59" s="130"/>
      <c r="B59" s="319" t="str">
        <f>Laporan!C17</f>
        <v>Digital thermohygrometer</v>
      </c>
      <c r="C59" s="320"/>
      <c r="D59" s="320"/>
      <c r="E59" s="320"/>
      <c r="F59" s="320"/>
      <c r="G59" s="321"/>
      <c r="H59" s="307" t="str">
        <f>Laporan!E17</f>
        <v>Taffware</v>
      </c>
      <c r="I59" s="308"/>
      <c r="J59" s="308"/>
      <c r="K59" s="309"/>
      <c r="L59" s="307" t="str">
        <f>Laporan!F17</f>
        <v>HTC-1</v>
      </c>
      <c r="M59" s="308"/>
      <c r="N59" s="309"/>
      <c r="O59" s="315" t="str">
        <f>Laporan!G17</f>
        <v>TH-01</v>
      </c>
      <c r="P59" s="316"/>
      <c r="Q59" s="316"/>
      <c r="R59" s="317"/>
    </row>
    <row r="60" spans="1:22" ht="15.75">
      <c r="A60" s="130"/>
    </row>
    <row r="61" spans="1:22" ht="15.75" customHeight="1">
      <c r="A61" s="131" t="s">
        <v>201</v>
      </c>
      <c r="B61" s="131" t="s">
        <v>199</v>
      </c>
      <c r="C61" s="141"/>
    </row>
    <row r="62" spans="1:22" ht="15.75">
      <c r="A62" s="130"/>
      <c r="B62" s="129" t="s">
        <v>198</v>
      </c>
    </row>
    <row r="63" spans="1:22" ht="15.75">
      <c r="A63" s="130"/>
      <c r="B63" s="152" t="s">
        <v>239</v>
      </c>
      <c r="V63" s="128" t="s">
        <v>197</v>
      </c>
    </row>
    <row r="64" spans="1:22" ht="30.75" customHeight="1">
      <c r="A64" s="130"/>
      <c r="B64" s="348" t="s">
        <v>54</v>
      </c>
      <c r="C64" s="349"/>
      <c r="D64" s="350"/>
      <c r="E64" s="298" t="s">
        <v>242</v>
      </c>
      <c r="F64" s="299"/>
      <c r="G64" s="300"/>
      <c r="H64" s="299" t="s">
        <v>60</v>
      </c>
      <c r="I64" s="300"/>
      <c r="J64" s="355" t="s">
        <v>196</v>
      </c>
      <c r="K64" s="356"/>
      <c r="L64" s="357"/>
      <c r="M64" s="166" t="s">
        <v>195</v>
      </c>
      <c r="N64" s="167"/>
      <c r="O64" s="167"/>
      <c r="P64" s="167"/>
      <c r="Q64" s="167"/>
      <c r="R64" s="168"/>
    </row>
    <row r="65" spans="1:18" ht="23.25" customHeight="1">
      <c r="A65" s="130"/>
      <c r="B65" s="351" t="s">
        <v>240</v>
      </c>
      <c r="C65" s="352"/>
      <c r="D65" s="353"/>
      <c r="E65" s="301" t="s">
        <v>241</v>
      </c>
      <c r="F65" s="302"/>
      <c r="G65" s="303"/>
      <c r="H65" s="318" t="s">
        <v>243</v>
      </c>
      <c r="I65" s="314"/>
      <c r="J65" s="312" t="s">
        <v>194</v>
      </c>
      <c r="K65" s="318"/>
      <c r="L65" s="314"/>
      <c r="M65" s="312" t="s">
        <v>193</v>
      </c>
      <c r="N65" s="313"/>
      <c r="O65" s="313"/>
      <c r="P65" s="313"/>
      <c r="Q65" s="313"/>
      <c r="R65" s="314"/>
    </row>
    <row r="66" spans="1:18" ht="15.75">
      <c r="A66" s="130"/>
      <c r="B66" s="295" t="s">
        <v>45</v>
      </c>
      <c r="C66" s="296"/>
      <c r="D66" s="297"/>
      <c r="E66" s="354" t="s">
        <v>45</v>
      </c>
      <c r="F66" s="310"/>
      <c r="G66" s="311"/>
      <c r="H66" s="310" t="s">
        <v>45</v>
      </c>
      <c r="I66" s="310"/>
      <c r="J66" s="354" t="s">
        <v>45</v>
      </c>
      <c r="K66" s="310"/>
      <c r="L66" s="311"/>
      <c r="M66" s="295" t="s">
        <v>45</v>
      </c>
      <c r="N66" s="310"/>
      <c r="O66" s="310"/>
      <c r="P66" s="310"/>
      <c r="Q66" s="310"/>
      <c r="R66" s="311"/>
    </row>
    <row r="67" spans="1:18" ht="15.75">
      <c r="A67" s="130"/>
      <c r="B67" s="332">
        <f>Laporan!B37</f>
        <v>35</v>
      </c>
      <c r="C67" s="333"/>
      <c r="D67" s="334"/>
      <c r="E67" s="345">
        <f>Laporan!C37</f>
        <v>35.14</v>
      </c>
      <c r="F67" s="346"/>
      <c r="G67" s="347"/>
      <c r="H67" s="364">
        <f>Laporan!D37</f>
        <v>35.1</v>
      </c>
      <c r="I67" s="366"/>
      <c r="J67" s="364">
        <f>Laporan!E37</f>
        <v>0.10000000000000142</v>
      </c>
      <c r="K67" s="365"/>
      <c r="L67" s="366"/>
      <c r="M67" s="326">
        <f>Laporan!F37</f>
        <v>9.3291191808184196E-2</v>
      </c>
      <c r="N67" s="327"/>
      <c r="O67" s="327"/>
      <c r="P67" s="327"/>
      <c r="Q67" s="327"/>
      <c r="R67" s="327"/>
    </row>
    <row r="68" spans="1:18" ht="15.75">
      <c r="A68" s="130"/>
      <c r="B68" s="332">
        <f>Laporan!B38</f>
        <v>37</v>
      </c>
      <c r="C68" s="333"/>
      <c r="D68" s="334"/>
      <c r="E68" s="345">
        <f>Laporan!C38</f>
        <v>37.06</v>
      </c>
      <c r="F68" s="346"/>
      <c r="G68" s="347"/>
      <c r="H68" s="364">
        <f>Laporan!D38</f>
        <v>37.166000000000011</v>
      </c>
      <c r="I68" s="366"/>
      <c r="J68" s="364">
        <f>Laporan!E38</f>
        <v>0.16600000000001103</v>
      </c>
      <c r="K68" s="365"/>
      <c r="L68" s="366"/>
      <c r="M68" s="326">
        <f>Laporan!F38</f>
        <v>7.3952444012964941E-2</v>
      </c>
      <c r="N68" s="327"/>
      <c r="O68" s="327"/>
      <c r="P68" s="327"/>
      <c r="Q68" s="327"/>
      <c r="R68" s="327"/>
    </row>
    <row r="69" spans="1:18" ht="15.75">
      <c r="A69" s="130"/>
      <c r="B69" s="332">
        <f>Laporan!B39</f>
        <v>41</v>
      </c>
      <c r="C69" s="333"/>
      <c r="D69" s="334"/>
      <c r="E69" s="345">
        <f>Laporan!C39</f>
        <v>41.120000000000005</v>
      </c>
      <c r="F69" s="346"/>
      <c r="G69" s="347"/>
      <c r="H69" s="364">
        <f>Laporan!D39</f>
        <v>41.239999999999995</v>
      </c>
      <c r="I69" s="366"/>
      <c r="J69" s="364">
        <f>Laporan!E39</f>
        <v>0.23999999999999488</v>
      </c>
      <c r="K69" s="365"/>
      <c r="L69" s="366"/>
      <c r="M69" s="326">
        <f>Laporan!F39</f>
        <v>0.11158956300233024</v>
      </c>
      <c r="N69" s="327"/>
      <c r="O69" s="327"/>
      <c r="P69" s="327"/>
      <c r="Q69" s="327"/>
      <c r="R69" s="327"/>
    </row>
    <row r="70" spans="1:18" ht="15.75">
      <c r="A70" s="130"/>
      <c r="B70" s="140"/>
    </row>
    <row r="71" spans="1:18" ht="15.75">
      <c r="A71" s="131" t="s">
        <v>200</v>
      </c>
      <c r="B71" s="131" t="s">
        <v>192</v>
      </c>
    </row>
    <row r="72" spans="1:18" ht="15.75">
      <c r="A72" s="130"/>
      <c r="B72" s="135" t="s">
        <v>191</v>
      </c>
    </row>
    <row r="73" spans="1:18" ht="15.75">
      <c r="A73" s="130"/>
      <c r="B73" s="134">
        <v>1</v>
      </c>
      <c r="C73" s="130" t="s">
        <v>190</v>
      </c>
      <c r="H73" s="128" t="s">
        <v>147</v>
      </c>
      <c r="I73" s="130" t="str">
        <f>Laporan!D44</f>
        <v>Alat Dinyatakan Laik Pakai</v>
      </c>
    </row>
    <row r="74" spans="1:18" ht="15.75">
      <c r="A74" s="130"/>
      <c r="B74" s="134"/>
      <c r="C74" s="135" t="s">
        <v>189</v>
      </c>
      <c r="D74" s="133"/>
      <c r="E74" s="133"/>
      <c r="F74" s="133"/>
      <c r="G74" s="133"/>
      <c r="H74" s="133"/>
      <c r="I74" s="135" t="s">
        <v>188</v>
      </c>
      <c r="J74" s="133"/>
      <c r="K74" s="133"/>
    </row>
    <row r="75" spans="1:18" ht="15.75">
      <c r="A75" s="130"/>
      <c r="B75" s="151">
        <v>2</v>
      </c>
      <c r="C75" s="130" t="s">
        <v>187</v>
      </c>
      <c r="D75" s="130"/>
      <c r="E75" s="130"/>
      <c r="F75" s="130"/>
      <c r="G75" s="130"/>
      <c r="H75" s="130" t="s">
        <v>147</v>
      </c>
      <c r="I75" s="130" t="s">
        <v>186</v>
      </c>
    </row>
    <row r="76" spans="1:18" ht="15.75">
      <c r="A76" s="130"/>
      <c r="C76" s="135" t="s">
        <v>185</v>
      </c>
      <c r="D76" s="133"/>
      <c r="E76" s="133"/>
      <c r="F76" s="133"/>
      <c r="G76" s="133"/>
      <c r="H76" s="133"/>
      <c r="I76" s="135" t="s">
        <v>184</v>
      </c>
    </row>
    <row r="77" spans="1:18" ht="15.75">
      <c r="A77" s="130"/>
      <c r="C77" s="135"/>
      <c r="D77" s="133"/>
      <c r="E77" s="133"/>
      <c r="F77" s="133"/>
      <c r="G77" s="133"/>
      <c r="H77" s="133"/>
      <c r="I77" s="135"/>
    </row>
    <row r="78" spans="1:18" ht="15.75">
      <c r="A78" s="130"/>
      <c r="C78" s="135"/>
      <c r="D78" s="133"/>
      <c r="E78" s="133"/>
      <c r="F78" s="133"/>
      <c r="G78" s="133"/>
      <c r="H78" s="133"/>
      <c r="I78" s="135"/>
    </row>
    <row r="79" spans="1:18" ht="15.75">
      <c r="A79" s="130"/>
      <c r="C79" s="135"/>
      <c r="D79" s="133"/>
      <c r="E79" s="133"/>
      <c r="F79" s="133"/>
      <c r="G79" s="133"/>
      <c r="H79" s="133"/>
      <c r="I79" s="135"/>
    </row>
    <row r="80" spans="1:18" ht="15.75">
      <c r="A80" s="130"/>
      <c r="C80" s="135"/>
      <c r="D80" s="133"/>
      <c r="E80" s="133"/>
      <c r="F80" s="133"/>
      <c r="G80" s="133"/>
      <c r="H80" s="133"/>
      <c r="I80" s="135"/>
    </row>
    <row r="81" spans="1:30" ht="15.75">
      <c r="A81" s="130"/>
      <c r="B81" s="130" t="s">
        <v>183</v>
      </c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</row>
    <row r="82" spans="1:30" ht="15.75">
      <c r="A82" s="130"/>
      <c r="B82" s="130" t="s">
        <v>182</v>
      </c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</row>
    <row r="83" spans="1:30" ht="30.75" customHeight="1">
      <c r="A83" s="130"/>
      <c r="B83" s="150">
        <v>1</v>
      </c>
      <c r="C83" s="328" t="s">
        <v>181</v>
      </c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  <c r="R83" s="329"/>
      <c r="S83" s="130"/>
    </row>
    <row r="84" spans="1:30" ht="29.25" customHeight="1">
      <c r="A84" s="130"/>
      <c r="B84" s="150"/>
      <c r="C84" s="330" t="s">
        <v>180</v>
      </c>
      <c r="D84" s="331"/>
      <c r="E84" s="331"/>
      <c r="F84" s="331"/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130"/>
    </row>
    <row r="85" spans="1:30" ht="15.75">
      <c r="A85" s="130"/>
      <c r="B85" s="150">
        <v>2</v>
      </c>
      <c r="C85" s="130" t="s">
        <v>179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</row>
    <row r="86" spans="1:30" ht="15.75">
      <c r="A86" s="130"/>
      <c r="B86" s="150"/>
      <c r="C86" s="135" t="s">
        <v>178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</row>
    <row r="87" spans="1:30" ht="45.75" customHeight="1">
      <c r="A87" s="130"/>
      <c r="B87" s="150">
        <v>3</v>
      </c>
      <c r="C87" s="322" t="s">
        <v>244</v>
      </c>
      <c r="D87" s="323"/>
      <c r="E87" s="323"/>
      <c r="F87" s="323"/>
      <c r="G87" s="323"/>
      <c r="H87" s="323"/>
      <c r="I87" s="323"/>
      <c r="J87" s="323"/>
      <c r="K87" s="323"/>
      <c r="L87" s="323"/>
      <c r="M87" s="323"/>
      <c r="N87" s="323"/>
      <c r="O87" s="323"/>
      <c r="P87" s="323"/>
      <c r="Q87" s="323"/>
      <c r="R87" s="323"/>
      <c r="S87" s="130"/>
    </row>
    <row r="88" spans="1:30" ht="32.25" customHeight="1">
      <c r="A88" s="130"/>
      <c r="B88" s="150"/>
      <c r="C88" s="324" t="s">
        <v>245</v>
      </c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130"/>
    </row>
    <row r="89" spans="1:30" ht="15.75">
      <c r="A89" s="130"/>
      <c r="B89" s="150">
        <v>4</v>
      </c>
      <c r="C89" s="130" t="s">
        <v>177</v>
      </c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</row>
    <row r="90" spans="1:30" ht="29.25" customHeight="1">
      <c r="A90" s="130"/>
      <c r="B90" s="149"/>
      <c r="C90" s="330" t="s">
        <v>176</v>
      </c>
      <c r="D90" s="331"/>
      <c r="E90" s="331"/>
      <c r="F90" s="331"/>
      <c r="G90" s="331"/>
      <c r="H90" s="331"/>
      <c r="I90" s="331"/>
      <c r="J90" s="331"/>
      <c r="K90" s="331"/>
      <c r="L90" s="331"/>
      <c r="M90" s="331"/>
      <c r="N90" s="331"/>
      <c r="O90" s="331"/>
      <c r="P90" s="331"/>
      <c r="Q90" s="331"/>
      <c r="R90" s="331"/>
      <c r="S90" s="130"/>
    </row>
    <row r="91" spans="1:30" ht="15.75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</row>
    <row r="92" spans="1:30" ht="15.75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AD92" s="136" t="s">
        <v>246</v>
      </c>
    </row>
    <row r="93" spans="1:30" ht="15.75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</row>
    <row r="94" spans="1:30" ht="15.75">
      <c r="A94" s="130"/>
      <c r="B94" s="130"/>
      <c r="C94" s="130" t="s">
        <v>175</v>
      </c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</row>
    <row r="95" spans="1:30" ht="15.75">
      <c r="A95" s="130"/>
      <c r="B95" s="130"/>
      <c r="C95" s="135" t="s">
        <v>174</v>
      </c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</row>
    <row r="96" spans="1:30" ht="15.75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</row>
    <row r="97" spans="1:19" ht="15.75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</row>
    <row r="98" spans="1:19" ht="15.75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</row>
    <row r="99" spans="1:19" ht="15.75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</row>
    <row r="100" spans="1:19" ht="15.75">
      <c r="A100" s="130"/>
      <c r="B100" s="130"/>
      <c r="C100" s="180" t="s">
        <v>260</v>
      </c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</row>
    <row r="101" spans="1:19" ht="15.75">
      <c r="A101" s="130"/>
      <c r="B101" s="130"/>
      <c r="C101" s="130" t="s">
        <v>173</v>
      </c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</row>
    <row r="102" spans="1:19" ht="15.75">
      <c r="A102" s="130"/>
      <c r="B102" s="130"/>
      <c r="C102" s="135" t="s">
        <v>172</v>
      </c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</row>
    <row r="103" spans="1:19" ht="15.75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</row>
    <row r="104" spans="1:19" ht="15.75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</row>
    <row r="105" spans="1:19" ht="15.75">
      <c r="A105" s="289" t="s">
        <v>171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</row>
    <row r="106" spans="1:19">
      <c r="A106" s="290" t="s">
        <v>170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</row>
    <row r="107" spans="1:19" ht="15.75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</row>
    <row r="108" spans="1:19" s="19" customFormat="1"/>
    <row r="109" spans="1:19" s="19" customFormat="1"/>
  </sheetData>
  <mergeCells count="64">
    <mergeCell ref="E69:G69"/>
    <mergeCell ref="J67:L67"/>
    <mergeCell ref="J68:L68"/>
    <mergeCell ref="J69:L69"/>
    <mergeCell ref="H66:I66"/>
    <mergeCell ref="H67:I67"/>
    <mergeCell ref="H68:I68"/>
    <mergeCell ref="H69:I69"/>
    <mergeCell ref="O56:R56"/>
    <mergeCell ref="E67:G67"/>
    <mergeCell ref="B64:D64"/>
    <mergeCell ref="B65:D65"/>
    <mergeCell ref="E68:G68"/>
    <mergeCell ref="E66:G66"/>
    <mergeCell ref="J64:L64"/>
    <mergeCell ref="J65:L65"/>
    <mergeCell ref="J66:L66"/>
    <mergeCell ref="B56:G56"/>
    <mergeCell ref="B57:G57"/>
    <mergeCell ref="H56:K56"/>
    <mergeCell ref="H57:K57"/>
    <mergeCell ref="L56:N56"/>
    <mergeCell ref="L57:N57"/>
    <mergeCell ref="B58:G58"/>
    <mergeCell ref="Q8:S8"/>
    <mergeCell ref="A12:S12"/>
    <mergeCell ref="A13:S13"/>
    <mergeCell ref="A14:S14"/>
    <mergeCell ref="B55:G55"/>
    <mergeCell ref="J18:L18"/>
    <mergeCell ref="J30:M30"/>
    <mergeCell ref="J32:M32"/>
    <mergeCell ref="J28:M28"/>
    <mergeCell ref="H55:K55"/>
    <mergeCell ref="O55:R55"/>
    <mergeCell ref="L55:N55"/>
    <mergeCell ref="A106:S106"/>
    <mergeCell ref="B59:G59"/>
    <mergeCell ref="L59:N59"/>
    <mergeCell ref="O59:R59"/>
    <mergeCell ref="C87:R87"/>
    <mergeCell ref="C88:R88"/>
    <mergeCell ref="A105:S105"/>
    <mergeCell ref="M67:R67"/>
    <mergeCell ref="M68:R68"/>
    <mergeCell ref="M69:R69"/>
    <mergeCell ref="C83:R83"/>
    <mergeCell ref="C90:R90"/>
    <mergeCell ref="C84:R84"/>
    <mergeCell ref="B67:D67"/>
    <mergeCell ref="B68:D68"/>
    <mergeCell ref="B69:D69"/>
    <mergeCell ref="B66:D66"/>
    <mergeCell ref="E64:G64"/>
    <mergeCell ref="E65:G65"/>
    <mergeCell ref="O57:R57"/>
    <mergeCell ref="H58:K58"/>
    <mergeCell ref="L58:N58"/>
    <mergeCell ref="M66:R66"/>
    <mergeCell ref="M65:R65"/>
    <mergeCell ref="O58:R58"/>
    <mergeCell ref="H64:I64"/>
    <mergeCell ref="H65:I65"/>
    <mergeCell ref="H59:K59"/>
  </mergeCells>
  <pageMargins left="0.70866141732283472" right="0.70866141732283472" top="0.74803149606299213" bottom="0.74803149606299213" header="0.31496062992125984" footer="0.31496062992125984"/>
  <pageSetup scale="99" orientation="portrait" horizontalDpi="360" verticalDpi="360" r:id="rId1"/>
  <headerFooter>
    <oddHeader>&amp;C
&amp;G</oddHeader>
    <oddFooter xml:space="preserve">&amp;R
halaman  &amp;P+1 dari 4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Input Data</vt:lpstr>
      <vt:lpstr>skorsing</vt:lpstr>
      <vt:lpstr>budget</vt:lpstr>
      <vt:lpstr>Laporan</vt:lpstr>
      <vt:lpstr>Cover</vt:lpstr>
      <vt:lpstr>Laporan Print</vt:lpstr>
      <vt:lpstr>Cover!Print_Area</vt:lpstr>
      <vt:lpstr>'Laporan Print'!Print_Area</vt:lpstr>
      <vt:lpstr>Cover!Print_Titles</vt:lpstr>
      <vt:lpstr>'Laporan Print'!Print_Titles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2025-08-20T07:09:15Z</cp:lastPrinted>
  <dcterms:created xsi:type="dcterms:W3CDTF">2025-08-14T03:49:16Z</dcterms:created>
  <dcterms:modified xsi:type="dcterms:W3CDTF">2026-09-08T07:03:31Z</dcterms:modified>
</cp:coreProperties>
</file>